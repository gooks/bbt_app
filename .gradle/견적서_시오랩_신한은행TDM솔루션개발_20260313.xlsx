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ellins-my.sharepoint.com/personal/gooks_bellins_net/Documents/work/310.영업/260223_신한은행 TDM솔루션개발/01.견적서/"/>
    </mc:Choice>
  </mc:AlternateContent>
  <xr:revisionPtr revIDLastSave="179" documentId="13_ncr:1_{6AE745E8-1D2D-442A-B2B1-EF4C513EC152}" xr6:coauthVersionLast="47" xr6:coauthVersionMax="47" xr10:uidLastSave="{B042EF83-D951-477D-9A72-3217B1E9A5AF}"/>
  <bookViews>
    <workbookView xWindow="28680" yWindow="-120" windowWidth="29040" windowHeight="15720" xr2:uid="{00000000-000D-0000-FFFF-FFFF00000000}"/>
  </bookViews>
  <sheets>
    <sheet name="견적서" sheetId="5" r:id="rId1"/>
    <sheet name="별첨1_인건비산정" sheetId="8" r:id="rId2"/>
    <sheet name="별첨2_공수산정" sheetId="12" r:id="rId3"/>
  </sheets>
  <definedNames>
    <definedName name="__123Graph_A그래프2" localSheetId="1" hidden="1">#REF!</definedName>
    <definedName name="__123Graph_A그래프2" hidden="1">#REF!</definedName>
    <definedName name="__123Graph_B그래프2" localSheetId="1" hidden="1">#REF!</definedName>
    <definedName name="__123Graph_B그래프2" hidden="1">#REF!</definedName>
    <definedName name="__123Graph_X그래프2" localSheetId="1" hidden="1">#REF!</definedName>
    <definedName name="__123Graph_X그래프2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Key1" localSheetId="1" hidden="1">#REF!</definedName>
    <definedName name="_Key1" hidden="1">#REF!</definedName>
    <definedName name="_Order1" hidden="1">255</definedName>
    <definedName name="_Order2" hidden="1">255</definedName>
    <definedName name="_Sort" localSheetId="1" hidden="1">#REF!</definedName>
    <definedName name="_Sort" hidden="1">#REF!</definedName>
    <definedName name="anscount" hidden="1">1</definedName>
    <definedName name="dd" hidden="1">#REF!</definedName>
    <definedName name="JUNG3" localSheetId="1" hidden="1">{#N/A,#N/A,FALSE,"QUOT_960527"}</definedName>
    <definedName name="JUNG3" localSheetId="2" hidden="1">{#N/A,#N/A,FALSE,"QUOT_960527"}</definedName>
    <definedName name="JUNG3" hidden="1">{#N/A,#N/A,FALSE,"QUOT_960527"}</definedName>
    <definedName name="letter" localSheetId="1" hidden="1">{#N/A,#N/A,FALSE,"QUOT_960527"}</definedName>
    <definedName name="letter" localSheetId="2" hidden="1">{#N/A,#N/A,FALSE,"QUOT_960527"}</definedName>
    <definedName name="letter" hidden="1">{#N/A,#N/A,FALSE,"QUOT_960527"}</definedName>
    <definedName name="limcount" hidden="1">1</definedName>
    <definedName name="PP" localSheetId="1" hidden="1">{#N/A,#N/A,TRUE,"토적및재료집계";#N/A,#N/A,TRUE,"토적및재료집계";#N/A,#N/A,TRUE,"단위량"}</definedName>
    <definedName name="PP" localSheetId="2" hidden="1">{#N/A,#N/A,TRUE,"토적및재료집계";#N/A,#N/A,TRUE,"토적및재료집계";#N/A,#N/A,TRUE,"단위량"}</definedName>
    <definedName name="PP" hidden="1">{#N/A,#N/A,TRUE,"토적및재료집계";#N/A,#N/A,TRUE,"토적및재료집계";#N/A,#N/A,TRUE,"단위량"}</definedName>
    <definedName name="PPP" localSheetId="1" hidden="1">{#N/A,#N/A,TRUE,"토적및재료집계";#N/A,#N/A,TRUE,"토적및재료집계";#N/A,#N/A,TRUE,"단위량"}</definedName>
    <definedName name="PPP" localSheetId="2" hidden="1">{#N/A,#N/A,TRUE,"토적및재료집계";#N/A,#N/A,TRUE,"토적및재료집계";#N/A,#N/A,TRUE,"단위량"}</definedName>
    <definedName name="PPP" hidden="1">{#N/A,#N/A,TRUE,"토적및재료집계";#N/A,#N/A,TRUE,"토적및재료집계";#N/A,#N/A,TRUE,"단위량"}</definedName>
    <definedName name="_xlnm.Print_Area" localSheetId="0">견적서!$A$1:$I$46</definedName>
    <definedName name="_xlnm.Print_Area" localSheetId="1">별첨1_인건비산정!$A$1:$L$24</definedName>
    <definedName name="sencount" hidden="1">1</definedName>
    <definedName name="T옴니아견적서" localSheetId="1" hidden="1">{#N/A,#N/A,TRUE,"토적및재료집계";#N/A,#N/A,TRUE,"토적및재료집계";#N/A,#N/A,TRUE,"단위량"}</definedName>
    <definedName name="T옴니아견적서" localSheetId="2" hidden="1">{#N/A,#N/A,TRUE,"토적및재료집계";#N/A,#N/A,TRUE,"토적및재료집계";#N/A,#N/A,TRUE,"단위량"}</definedName>
    <definedName name="T옴니아견적서" hidden="1">{#N/A,#N/A,TRUE,"토적및재료집계";#N/A,#N/A,TRUE,"토적및재료집계";#N/A,#N/A,TRUE,"단위량"}</definedName>
    <definedName name="wrn.견적서." localSheetId="1" hidden="1">{#N/A,#N/A,FALSE,"QUOT_960527"}</definedName>
    <definedName name="wrn.견적서." localSheetId="2" hidden="1">{#N/A,#N/A,FALSE,"QUOT_960527"}</definedName>
    <definedName name="wrn.견적서." hidden="1">{#N/A,#N/A,FALSE,"QUOT_960527"}</definedName>
    <definedName name="wrn.신용찬." localSheetId="1" hidden="1">{#N/A,#N/A,TRUE,"토적및재료집계";#N/A,#N/A,TRUE,"토적및재료집계";#N/A,#N/A,TRUE,"단위량"}</definedName>
    <definedName name="wrn.신용찬." localSheetId="2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Z_4F7B0CB6_6F5D_4F2B_83C9_D01B82C30054_.wvu.Cols" localSheetId="1" hidden="1">별첨1_인건비산정!$L:$L</definedName>
    <definedName name="Z_4F7B0CB6_6F5D_4F2B_83C9_D01B82C30054_.wvu.PrintArea" localSheetId="0" hidden="1">견적서!$A$1:$I$46</definedName>
    <definedName name="Z_4F7B0CB6_6F5D_4F2B_83C9_D01B82C30054_.wvu.PrintArea" localSheetId="1" hidden="1">별첨1_인건비산정!$A$1:$L$24</definedName>
    <definedName name="ㄱ" localSheetId="1" hidden="1">{#N/A,#N/A,TRUE,"토적및재료집계";#N/A,#N/A,TRUE,"토적및재료집계";#N/A,#N/A,TRUE,"단위량"}</definedName>
    <definedName name="ㄱ" localSheetId="2" hidden="1">{#N/A,#N/A,TRUE,"토적및재료집계";#N/A,#N/A,TRUE,"토적및재료집계";#N/A,#N/A,TRUE,"단위량"}</definedName>
    <definedName name="ㄱ" hidden="1">{#N/A,#N/A,TRUE,"토적및재료집계";#N/A,#N/A,TRUE,"토적및재료집계";#N/A,#N/A,TRUE,"단위량"}</definedName>
    <definedName name="가" localSheetId="1" hidden="1">{#N/A,#N/A,TRUE,"토적및재료집계";#N/A,#N/A,TRUE,"토적및재료집계";#N/A,#N/A,TRUE,"단위량"}</definedName>
    <definedName name="가" localSheetId="2" hidden="1">{#N/A,#N/A,TRUE,"토적및재료집계";#N/A,#N/A,TRUE,"토적및재료집계";#N/A,#N/A,TRUE,"단위량"}</definedName>
    <definedName name="가" hidden="1">{#N/A,#N/A,TRUE,"토적및재료집계";#N/A,#N/A,TRUE,"토적및재료집계";#N/A,#N/A,TRUE,"단위량"}</definedName>
    <definedName name="견적서_2000명" localSheetId="1" hidden="1">{#N/A,#N/A,TRUE,"토적및재료집계";#N/A,#N/A,TRUE,"토적및재료집계";#N/A,#N/A,TRUE,"단위량"}</definedName>
    <definedName name="견적서_2000명" localSheetId="2" hidden="1">{#N/A,#N/A,TRUE,"토적및재료집계";#N/A,#N/A,TRUE,"토적및재료집계";#N/A,#N/A,TRUE,"단위량"}</definedName>
    <definedName name="견적서_2000명" hidden="1">{#N/A,#N/A,TRUE,"토적및재료집계";#N/A,#N/A,TRUE,"토적및재료집계";#N/A,#N/A,TRUE,"단위량"}</definedName>
    <definedName name="광" localSheetId="1" hidden="1">{#N/A,#N/A,TRUE,"토적및재료집계";#N/A,#N/A,TRUE,"토적및재료집계";#N/A,#N/A,TRUE,"단위량"}</definedName>
    <definedName name="광" localSheetId="2" hidden="1">{#N/A,#N/A,TRUE,"토적및재료집계";#N/A,#N/A,TRUE,"토적및재료집계";#N/A,#N/A,TRUE,"단위량"}</definedName>
    <definedName name="광" hidden="1">{#N/A,#N/A,TRUE,"토적및재료집계";#N/A,#N/A,TRUE,"토적및재료집계";#N/A,#N/A,TRUE,"단위량"}</definedName>
    <definedName name="기타경비" localSheetId="1" hidden="1">{#N/A,#N/A,TRUE,"토적및재료집계";#N/A,#N/A,TRUE,"토적및재료집계";#N/A,#N/A,TRUE,"단위량"}</definedName>
    <definedName name="기타경비" localSheetId="2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긴급전화" localSheetId="1" hidden="1">{#N/A,#N/A,TRUE,"토적및재료집계";#N/A,#N/A,TRUE,"토적및재료집계";#N/A,#N/A,TRUE,"단위량"}</definedName>
    <definedName name="긴급전화" localSheetId="2" hidden="1">{#N/A,#N/A,TRUE,"토적및재료집계";#N/A,#N/A,TRUE,"토적및재료집계";#N/A,#N/A,TRUE,"단위량"}</definedName>
    <definedName name="긴급전화" hidden="1">{#N/A,#N/A,TRUE,"토적및재료집계";#N/A,#N/A,TRUE,"토적및재료집계";#N/A,#N/A,TRUE,"단위량"}</definedName>
    <definedName name="나" localSheetId="1" hidden="1">{#N/A,#N/A,TRUE,"토적및재료집계";#N/A,#N/A,TRUE,"토적및재료집계";#N/A,#N/A,TRUE,"단위량"}</definedName>
    <definedName name="나" localSheetId="2" hidden="1">{#N/A,#N/A,TRUE,"토적및재료집계";#N/A,#N/A,TRUE,"토적및재료집계";#N/A,#N/A,TRUE,"단위량"}</definedName>
    <definedName name="나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localSheetId="2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다" localSheetId="1" hidden="1">{#N/A,#N/A,TRUE,"토적및재료집계";#N/A,#N/A,TRUE,"토적및재료집계";#N/A,#N/A,TRUE,"단위량"}</definedName>
    <definedName name="다" localSheetId="2" hidden="1">{#N/A,#N/A,TRUE,"토적및재료집계";#N/A,#N/A,TRUE,"토적및재료집계";#N/A,#N/A,TRUE,"단위량"}</definedName>
    <definedName name="다" hidden="1">{#N/A,#N/A,TRUE,"토적및재료집계";#N/A,#N/A,TRUE,"토적및재료집계";#N/A,#N/A,TRUE,"단위량"}</definedName>
    <definedName name="ㄹ" localSheetId="1" hidden="1">{#N/A,#N/A,TRUE,"토적및재료집계";#N/A,#N/A,TRUE,"토적및재료집계";#N/A,#N/A,TRUE,"단위량"}</definedName>
    <definedName name="ㄹ" localSheetId="2" hidden="1">{#N/A,#N/A,TRUE,"토적및재료집계";#N/A,#N/A,TRUE,"토적및재료집계";#N/A,#N/A,TRUE,"단위량"}</definedName>
    <definedName name="ㄹ" hidden="1">{#N/A,#N/A,TRUE,"토적및재료집계";#N/A,#N/A,TRUE,"토적및재료집계";#N/A,#N/A,TRUE,"단위량"}</definedName>
    <definedName name="ㅁ" localSheetId="1" hidden="1">{#N/A,#N/A,TRUE,"토적및재료집계";#N/A,#N/A,TRUE,"토적및재료집계";#N/A,#N/A,TRUE,"단위량"}</definedName>
    <definedName name="ㅁ" localSheetId="2" hidden="1">{#N/A,#N/A,TRUE,"토적및재료집계";#N/A,#N/A,TRUE,"토적및재료집계";#N/A,#N/A,TRUE,"단위량"}</definedName>
    <definedName name="ㅁ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localSheetId="2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부" hidden="1">#REF!</definedName>
    <definedName name="ㅅ" localSheetId="1" hidden="1">{#N/A,#N/A,TRUE,"토적및재료집계";#N/A,#N/A,TRUE,"토적및재료집계";#N/A,#N/A,TRUE,"단위량"}</definedName>
    <definedName name="ㅅ" localSheetId="2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설비" localSheetId="1" hidden="1">{#N/A,#N/A,TRUE,"토적및재료집계";#N/A,#N/A,TRUE,"토적및재료집계";#N/A,#N/A,TRUE,"단위량"}</definedName>
    <definedName name="설비" localSheetId="2" hidden="1">{#N/A,#N/A,TRUE,"토적및재료집계";#N/A,#N/A,TRUE,"토적및재료집계";#N/A,#N/A,TRUE,"단위량"}</definedName>
    <definedName name="설비" hidden="1">{#N/A,#N/A,TRUE,"토적및재료집계";#N/A,#N/A,TRUE,"토적및재료집계";#N/A,#N/A,TRUE,"단위량"}</definedName>
    <definedName name="수2" localSheetId="1" hidden="1">{#N/A,#N/A,TRUE,"토적및재료집계";#N/A,#N/A,TRUE,"토적및재료집계";#N/A,#N/A,TRUE,"단위량"}</definedName>
    <definedName name="수2" localSheetId="2" hidden="1">{#N/A,#N/A,TRUE,"토적및재료집계";#N/A,#N/A,TRUE,"토적및재료집계";#N/A,#N/A,TRUE,"단위량"}</definedName>
    <definedName name="수2" hidden="1">{#N/A,#N/A,TRUE,"토적및재료집계";#N/A,#N/A,TRUE,"토적및재료집계";#N/A,#N/A,TRUE,"단위량"}</definedName>
    <definedName name="수3" localSheetId="1" hidden="1">{#N/A,#N/A,TRUE,"토적및재료집계";#N/A,#N/A,TRUE,"토적및재료집계";#N/A,#N/A,TRUE,"단위량"}</definedName>
    <definedName name="수3" localSheetId="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ㅇㅁㄴㄹ" localSheetId="1" hidden="1">{#N/A,#N/A,TRUE,"토적및재료집계";#N/A,#N/A,TRUE,"토적및재료집계";#N/A,#N/A,TRUE,"단위량"}</definedName>
    <definedName name="ㅇㅁㄴㄹ" localSheetId="2" hidden="1">{#N/A,#N/A,TRUE,"토적및재료집계";#N/A,#N/A,TRUE,"토적및재료집계";#N/A,#N/A,TRUE,"단위량"}</definedName>
    <definedName name="ㅇㅁㄴㄹ" hidden="1">{#N/A,#N/A,TRUE,"토적및재료집계";#N/A,#N/A,TRUE,"토적및재료집계";#N/A,#N/A,TRUE,"단위량"}</definedName>
    <definedName name="ㅇㅇㄹ" localSheetId="1" hidden="1">{#N/A,#N/A,TRUE,"토적및재료집계";#N/A,#N/A,TRUE,"토적및재료집계";#N/A,#N/A,TRUE,"단위량"}</definedName>
    <definedName name="ㅇㅇㄹ" localSheetId="2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이정호1" localSheetId="1" hidden="1">{#N/A,#N/A,FALSE,"QUOT_960527"}</definedName>
    <definedName name="이정호1" localSheetId="2" hidden="1">{#N/A,#N/A,FALSE,"QUOT_960527"}</definedName>
    <definedName name="이정호1" hidden="1">{#N/A,#N/A,FALSE,"QUOT_960527"}</definedName>
    <definedName name="이정호2" localSheetId="1" hidden="1">{#N/A,#N/A,FALSE,"QUOT_960527"}</definedName>
    <definedName name="이정호2" localSheetId="2" hidden="1">{#N/A,#N/A,FALSE,"QUOT_960527"}</definedName>
    <definedName name="이정호2" hidden="1">{#N/A,#N/A,FALSE,"QUOT_960527"}</definedName>
    <definedName name="ㅈ" localSheetId="1" hidden="1">{#N/A,#N/A,TRUE,"토적및재료집계";#N/A,#N/A,TRUE,"토적및재료집계";#N/A,#N/A,TRUE,"단위량"}</definedName>
    <definedName name="ㅈ" localSheetId="2" hidden="1">{#N/A,#N/A,TRUE,"토적및재료집계";#N/A,#N/A,TRUE,"토적및재료집계";#N/A,#N/A,TRUE,"단위량"}</definedName>
    <definedName name="ㅈ" hidden="1">{#N/A,#N/A,TRUE,"토적및재료집계";#N/A,#N/A,TRUE,"토적및재료집계";#N/A,#N/A,TRUE,"단위량"}</definedName>
    <definedName name="전철" hidden="1">0</definedName>
    <definedName name="직매54P" localSheetId="1" hidden="1">{#N/A,#N/A,TRUE,"토적및재료집계";#N/A,#N/A,TRUE,"토적및재료집계";#N/A,#N/A,TRUE,"단위량"}</definedName>
    <definedName name="직매54P" localSheetId="2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ㅋ" localSheetId="1" hidden="1">{#N/A,#N/A,TRUE,"토적및재료집계";#N/A,#N/A,TRUE,"토적및재료집계";#N/A,#N/A,TRUE,"단위량"}</definedName>
    <definedName name="ㅋ" localSheetId="2" hidden="1">{#N/A,#N/A,TRUE,"토적및재료집계";#N/A,#N/A,TRUE,"토적및재료집계";#N/A,#N/A,TRUE,"단위량"}</definedName>
    <definedName name="ㅋ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localSheetId="2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</definedNames>
  <calcPr calcId="191028"/>
  <customWorkbookViews>
    <customWorkbookView name="1" guid="{4F7B0CB6-6F5D-4F2B-83C9-D01B82C30054}" maximized="1" xWindow="1912" yWindow="-8" windowWidth="1936" windowHeight="1056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7" i="12" l="1"/>
  <c r="G37" i="12"/>
  <c r="I32" i="12"/>
  <c r="I33" i="12"/>
  <c r="I34" i="12"/>
  <c r="I35" i="12"/>
  <c r="I36" i="12"/>
  <c r="I21" i="12"/>
  <c r="H22" i="12"/>
  <c r="G22" i="12"/>
  <c r="I31" i="12"/>
  <c r="H43" i="12"/>
  <c r="G43" i="12"/>
  <c r="I42" i="12"/>
  <c r="I41" i="12"/>
  <c r="H27" i="12"/>
  <c r="G27" i="12"/>
  <c r="I26" i="12"/>
  <c r="H17" i="12"/>
  <c r="G17" i="12"/>
  <c r="I16" i="12"/>
  <c r="H12" i="12"/>
  <c r="G12" i="12"/>
  <c r="I11" i="12"/>
  <c r="H7" i="12"/>
  <c r="I6" i="12"/>
  <c r="I7" i="12" s="1"/>
  <c r="G5" i="8" s="1"/>
  <c r="H5" i="8" s="1"/>
  <c r="F16" i="5" s="1"/>
  <c r="K11" i="8"/>
  <c r="K10" i="8"/>
  <c r="K9" i="8"/>
  <c r="K8" i="8"/>
  <c r="K7" i="8"/>
  <c r="K6" i="8"/>
  <c r="K5" i="8"/>
  <c r="C11" i="8"/>
  <c r="C10" i="8"/>
  <c r="C9" i="8"/>
  <c r="C8" i="8"/>
  <c r="C7" i="8"/>
  <c r="C6" i="8"/>
  <c r="C5" i="8"/>
  <c r="I43" i="12" l="1"/>
  <c r="G11" i="8" s="1"/>
  <c r="H11" i="8" s="1"/>
  <c r="F22" i="5" s="1"/>
  <c r="I37" i="12"/>
  <c r="G10" i="8" s="1"/>
  <c r="H10" i="8" s="1"/>
  <c r="F21" i="5" s="1"/>
  <c r="I22" i="12"/>
  <c r="G8" i="8" s="1"/>
  <c r="H8" i="8" s="1"/>
  <c r="F19" i="5" s="1"/>
  <c r="I12" i="12"/>
  <c r="G6" i="8" s="1"/>
  <c r="H6" i="8" s="1"/>
  <c r="F17" i="5" s="1"/>
  <c r="I27" i="12"/>
  <c r="G9" i="8" s="1"/>
  <c r="H9" i="8" s="1"/>
  <c r="I17" i="12"/>
  <c r="G7" i="8" s="1"/>
  <c r="H7" i="8" s="1"/>
  <c r="F18" i="5" s="1"/>
  <c r="D11" i="8"/>
  <c r="E11" i="8" s="1"/>
  <c r="F11" i="8" s="1"/>
  <c r="D10" i="8"/>
  <c r="E10" i="8"/>
  <c r="F10" i="8" s="1"/>
  <c r="D9" i="8"/>
  <c r="E9" i="8" s="1"/>
  <c r="F9" i="8" s="1"/>
  <c r="D8" i="8"/>
  <c r="E8" i="8" s="1"/>
  <c r="F8" i="8" s="1"/>
  <c r="D7" i="8"/>
  <c r="E7" i="8" s="1"/>
  <c r="F7" i="8" s="1"/>
  <c r="D6" i="8"/>
  <c r="E6" i="8" s="1"/>
  <c r="F6" i="8" s="1"/>
  <c r="D5" i="8"/>
  <c r="E5" i="8" s="1"/>
  <c r="F5" i="8" s="1"/>
  <c r="I9" i="8" l="1"/>
  <c r="G20" i="5" s="1"/>
  <c r="F20" i="5"/>
  <c r="J11" i="8"/>
  <c r="H22" i="5" s="1"/>
  <c r="I11" i="8"/>
  <c r="G22" i="5" s="1"/>
  <c r="J10" i="8"/>
  <c r="H21" i="5" s="1"/>
  <c r="I10" i="8"/>
  <c r="G21" i="5" s="1"/>
  <c r="J9" i="8"/>
  <c r="H20" i="5" s="1"/>
  <c r="J8" i="8"/>
  <c r="H19" i="5" s="1"/>
  <c r="I8" i="8"/>
  <c r="G19" i="5" s="1"/>
  <c r="J7" i="8"/>
  <c r="H18" i="5" s="1"/>
  <c r="I7" i="8"/>
  <c r="G18" i="5" s="1"/>
  <c r="J6" i="8"/>
  <c r="H17" i="5" s="1"/>
  <c r="I6" i="8"/>
  <c r="G17" i="5" s="1"/>
  <c r="J5" i="8"/>
  <c r="H16" i="5" s="1"/>
  <c r="I5" i="8"/>
  <c r="G16" i="5" s="1"/>
  <c r="K12" i="8"/>
  <c r="H15" i="5" l="1"/>
  <c r="H26" i="5" s="1"/>
  <c r="G26" i="5"/>
  <c r="A14" i="8"/>
  <c r="A34" i="5"/>
  <c r="G12" i="8" l="1"/>
  <c r="H12" i="8"/>
  <c r="I12" i="8" l="1"/>
  <c r="J12" i="8"/>
  <c r="C12" i="5" l="1"/>
  <c r="C11" i="5"/>
  <c r="H27" i="5"/>
  <c r="H28" i="5" s="1"/>
</calcChain>
</file>

<file path=xl/sharedStrings.xml><?xml version="1.0" encoding="utf-8"?>
<sst xmlns="http://schemas.openxmlformats.org/spreadsheetml/2006/main" count="240" uniqueCount="170">
  <si>
    <t>4.기타사항</t>
    <phoneticPr fontId="15" type="noConversion"/>
  </si>
  <si>
    <t>협의</t>
  </si>
  <si>
    <t>3.납품예정일</t>
    <phoneticPr fontId="15" type="noConversion"/>
  </si>
  <si>
    <t>2.납품장소</t>
    <phoneticPr fontId="15" type="noConversion"/>
  </si>
  <si>
    <t>1.결제조건</t>
    <phoneticPr fontId="15" type="noConversion"/>
  </si>
  <si>
    <t xml:space="preserve"> (부가세포함)</t>
    <phoneticPr fontId="15" type="noConversion"/>
  </si>
  <si>
    <t xml:space="preserve">합 계 </t>
    <phoneticPr fontId="15" type="noConversion"/>
  </si>
  <si>
    <t>VAT(10%)</t>
    <phoneticPr fontId="15" type="noConversion"/>
  </si>
  <si>
    <t>부가세</t>
    <phoneticPr fontId="15" type="noConversion"/>
  </si>
  <si>
    <t>Total</t>
    <phoneticPr fontId="15" type="noConversion"/>
  </si>
  <si>
    <t>소 계</t>
    <phoneticPr fontId="15" type="noConversion"/>
  </si>
  <si>
    <t>비고</t>
    <phoneticPr fontId="18" type="noConversion"/>
  </si>
  <si>
    <t>공급금액</t>
  </si>
  <si>
    <t>표준가</t>
    <phoneticPr fontId="18" type="noConversion"/>
  </si>
  <si>
    <t xml:space="preserve">품명 </t>
    <phoneticPr fontId="18" type="noConversion"/>
  </si>
  <si>
    <t>N0</t>
  </si>
  <si>
    <t>단위(원 V.A.T 별도)</t>
    <phoneticPr fontId="15" type="noConversion"/>
  </si>
  <si>
    <t>이 메 일 :</t>
    <phoneticPr fontId="15" type="noConversion"/>
  </si>
  <si>
    <t xml:space="preserve"> (부가세별도)</t>
    <phoneticPr fontId="15" type="noConversion"/>
  </si>
  <si>
    <t>금액:</t>
    <phoneticPr fontId="15" type="noConversion"/>
  </si>
  <si>
    <t>Mobile :</t>
    <phoneticPr fontId="15" type="noConversion"/>
  </si>
  <si>
    <t>담 당 자 :</t>
    <phoneticPr fontId="15" type="noConversion"/>
  </si>
  <si>
    <t>견적유효 :</t>
    <phoneticPr fontId="15" type="noConversion"/>
  </si>
  <si>
    <t>02-6373-0975</t>
    <phoneticPr fontId="15" type="noConversion"/>
  </si>
  <si>
    <t>팩   스 :</t>
    <phoneticPr fontId="15" type="noConversion"/>
  </si>
  <si>
    <t>대표번호 :</t>
    <phoneticPr fontId="15" type="noConversion"/>
  </si>
  <si>
    <t>서울 서대문구 충정로 8 종근당빌딩 8층</t>
    <phoneticPr fontId="15" type="noConversion"/>
  </si>
  <si>
    <t>주   소 :</t>
    <phoneticPr fontId="15" type="noConversion"/>
  </si>
  <si>
    <t>전화번호 :</t>
    <phoneticPr fontId="15" type="noConversion"/>
  </si>
  <si>
    <t xml:space="preserve"> 한 성 욱</t>
    <phoneticPr fontId="15" type="noConversion"/>
  </si>
  <si>
    <t>대 표 자 :</t>
    <phoneticPr fontId="15" type="noConversion"/>
  </si>
  <si>
    <t>주식회사 벨아이앤에스</t>
    <phoneticPr fontId="15" type="noConversion"/>
  </si>
  <si>
    <t xml:space="preserve">상   호 : </t>
    <phoneticPr fontId="15" type="noConversion"/>
  </si>
  <si>
    <t>견적일자 :</t>
    <phoneticPr fontId="15" type="noConversion"/>
  </si>
  <si>
    <t>발신 : 벨아이앤에스</t>
    <phoneticPr fontId="15" type="noConversion"/>
  </si>
  <si>
    <t>견 적 서 [Quotation]</t>
    <phoneticPr fontId="18" type="noConversion"/>
  </si>
  <si>
    <t>02-6925-1131</t>
    <phoneticPr fontId="15" type="noConversion"/>
  </si>
  <si>
    <t>모델 및 사양</t>
    <phoneticPr fontId="18" type="noConversion"/>
  </si>
  <si>
    <t>수량(M/M)</t>
    <phoneticPr fontId="15" type="noConversion"/>
  </si>
  <si>
    <t>조한기</t>
    <phoneticPr fontId="15" type="noConversion"/>
  </si>
  <si>
    <t>010-3306-3549</t>
    <phoneticPr fontId="15" type="noConversion"/>
  </si>
  <si>
    <t>ckdbob@bellins.net</t>
    <phoneticPr fontId="15" type="noConversion"/>
  </si>
  <si>
    <t>①평균임금(원)</t>
  </si>
  <si>
    <t>②제경비</t>
  </si>
  <si>
    <t>③기술료</t>
  </si>
  <si>
    <t>④표준가격</t>
  </si>
  <si>
    <t>⑤ 1M 제안가격</t>
  </si>
  <si>
    <t>공수(Day)</t>
  </si>
  <si>
    <t>공수(Month)</t>
  </si>
  <si>
    <t>⑥표준가 금액</t>
  </si>
  <si>
    <t>⑦제안가 금액</t>
  </si>
  <si>
    <t>할인율(%)</t>
  </si>
  <si>
    <t>합계</t>
  </si>
  <si>
    <t>←할인율 입력시 제안가 자동산정</t>
  </si>
  <si>
    <t>①평균임금</t>
  </si>
  <si>
    <t>SW기술자 평균임금</t>
  </si>
  <si>
    <t>평균임금*1.1</t>
  </si>
  <si>
    <t>(평균임금+제경비)*0.2</t>
  </si>
  <si>
    <t>평균임금+제경비+기술비</t>
  </si>
  <si>
    <t>⑥표준가금액</t>
  </si>
  <si>
    <t>표준가격 *공수(M)</t>
  </si>
  <si>
    <t>⑦제안가금액</t>
  </si>
  <si>
    <t>1M 제안가격*공수(M)</t>
  </si>
  <si>
    <t>* 특별 할인율</t>
    <phoneticPr fontId="15" type="noConversion"/>
  </si>
  <si>
    <t>개발</t>
    <phoneticPr fontId="15" type="noConversion"/>
  </si>
  <si>
    <t xml:space="preserve">※ 본 견적서의 견적금액은 구축 수행 시 요청 사항 또는 환경에 따라 변동이 있을수 있습니다.        </t>
    <phoneticPr fontId="15" type="noConversion"/>
  </si>
  <si>
    <t>직무구분</t>
    <phoneticPr fontId="15" type="noConversion"/>
  </si>
  <si>
    <t>표준가격-(표준가격/할인율)</t>
    <phoneticPr fontId="15" type="noConversion"/>
  </si>
  <si>
    <t xml:space="preserve">발주자: </t>
    <phoneticPr fontId="15" type="noConversion"/>
  </si>
  <si>
    <t xml:space="preserve">발주일: </t>
    <phoneticPr fontId="15" type="noConversion"/>
  </si>
  <si>
    <t xml:space="preserve">주 소: </t>
    <phoneticPr fontId="15" type="noConversion"/>
  </si>
  <si>
    <t xml:space="preserve">상 호: </t>
    <phoneticPr fontId="15" type="noConversion"/>
  </si>
  <si>
    <t xml:space="preserve">대 표: </t>
    <phoneticPr fontId="15" type="noConversion"/>
  </si>
  <si>
    <t>Grand Total</t>
    <phoneticPr fontId="18" type="noConversion"/>
  </si>
  <si>
    <t>수신:</t>
    <phoneticPr fontId="15" type="noConversion"/>
  </si>
  <si>
    <t>1. 운영사업 임금단가 기준</t>
    <phoneticPr fontId="15" type="noConversion"/>
  </si>
  <si>
    <t>⑤ IT PM</t>
  </si>
  <si>
    <t>① IT기획자</t>
  </si>
  <si>
    <t>⑧ UI/UX디자이너</t>
  </si>
  <si>
    <t>⑦ UI/UX기획/개발자</t>
  </si>
  <si>
    <t>⑨ 응용SW개발자</t>
  </si>
  <si>
    <t>⑪ 정보시스템운용자</t>
  </si>
  <si>
    <t>견적일로부터 1개월</t>
    <phoneticPr fontId="15" type="noConversion"/>
  </si>
  <si>
    <t>*용역비용 산정내역 : 2026년도 적용 SW기술자 평균임금 공표자료에 의한 M/M 기준으로 기재되어 있음.</t>
    <phoneticPr fontId="15" type="noConversion"/>
  </si>
  <si>
    <t>※ 한국 소프트웨어산업협회 2026년 적용 SW기술자 평균임금을 적용합니다.</t>
    <phoneticPr fontId="15" type="noConversion"/>
  </si>
  <si>
    <t xml:space="preserve">※ 해당 견적상 업무는 비 상주로 운영지원하는 것을 기준으로 합니다. </t>
    <phoneticPr fontId="15" type="noConversion"/>
  </si>
  <si>
    <t>※ 본 견적서는 시스템 구축에만 한하며, 서버 구입비, 호스팅비, 동영상서비스, SMS, 대량메일 서비스 비용 등은 본 견적외 사항입니다.</t>
    <phoneticPr fontId="15" type="noConversion"/>
  </si>
  <si>
    <t xml:space="preserve">※ 시스템 구축에 필요한 콘텐츠는 고객사에서 제공합니다. </t>
    <phoneticPr fontId="15" type="noConversion"/>
  </si>
  <si>
    <t>계산서 발행조건, 결제 조건</t>
    <phoneticPr fontId="15" type="noConversion"/>
  </si>
  <si>
    <t>* 협의되는 요건에 따라 공수산정이 조정될 수 있습니다.</t>
    <phoneticPr fontId="36" type="noConversion"/>
  </si>
  <si>
    <t>* PM</t>
    <phoneticPr fontId="15" type="noConversion"/>
  </si>
  <si>
    <t>구분</t>
  </si>
  <si>
    <t>항목</t>
  </si>
  <si>
    <t>대분류</t>
  </si>
  <si>
    <t>중분류</t>
  </si>
  <si>
    <t>세분류</t>
  </si>
  <si>
    <t>세부기능</t>
  </si>
  <si>
    <t>작업</t>
    <phoneticPr fontId="15" type="noConversion"/>
  </si>
  <si>
    <t>비고</t>
    <phoneticPr fontId="15" type="noConversion"/>
  </si>
  <si>
    <t>프로젝트 관리</t>
    <phoneticPr fontId="15" type="noConversion"/>
  </si>
  <si>
    <t>- 업무협의 및 요구사항 정의, 일정관리, 개발품질관리 등</t>
    <phoneticPr fontId="15" type="noConversion"/>
  </si>
  <si>
    <t>총 합계(D/M)</t>
    <phoneticPr fontId="15" type="noConversion"/>
  </si>
  <si>
    <t>* 기획</t>
    <phoneticPr fontId="15" type="noConversion"/>
  </si>
  <si>
    <t>세부기능</t>
    <phoneticPr fontId="15" type="noConversion"/>
  </si>
  <si>
    <t>분석</t>
    <phoneticPr fontId="15" type="noConversion"/>
  </si>
  <si>
    <t>설계</t>
    <phoneticPr fontId="15" type="noConversion"/>
  </si>
  <si>
    <t>총 합계(D/M)</t>
  </si>
  <si>
    <t>* 디자인</t>
    <phoneticPr fontId="15" type="noConversion"/>
  </si>
  <si>
    <t>분석/설계</t>
    <phoneticPr fontId="15" type="noConversion"/>
  </si>
  <si>
    <t>디자인</t>
    <phoneticPr fontId="15" type="noConversion"/>
  </si>
  <si>
    <t>* 퍼블리싱</t>
    <phoneticPr fontId="15" type="noConversion"/>
  </si>
  <si>
    <t>퍼블리싱</t>
    <phoneticPr fontId="15" type="noConversion"/>
  </si>
  <si>
    <t>* 시스템설계</t>
    <phoneticPr fontId="15" type="noConversion"/>
  </si>
  <si>
    <t>구현</t>
    <phoneticPr fontId="15" type="noConversion"/>
  </si>
  <si>
    <t>* 개발</t>
    <phoneticPr fontId="15" type="noConversion"/>
  </si>
  <si>
    <t>개발/테스트</t>
    <phoneticPr fontId="15" type="noConversion"/>
  </si>
  <si>
    <t>이관</t>
    <phoneticPr fontId="15" type="noConversion"/>
  </si>
  <si>
    <t>* SE</t>
    <phoneticPr fontId="15" type="noConversion"/>
  </si>
  <si>
    <t>작성자 : 정동환</t>
    <phoneticPr fontId="15" type="noConversion"/>
  </si>
  <si>
    <t>PM</t>
    <phoneticPr fontId="15" type="noConversion"/>
  </si>
  <si>
    <t>UI/UX기획</t>
    <phoneticPr fontId="15" type="noConversion"/>
  </si>
  <si>
    <t>UI/UX디자인</t>
    <phoneticPr fontId="15" type="noConversion"/>
  </si>
  <si>
    <t>UI/UX개발</t>
    <phoneticPr fontId="15" type="noConversion"/>
  </si>
  <si>
    <t>응용SW개발</t>
    <phoneticPr fontId="15" type="noConversion"/>
  </si>
  <si>
    <t>운영지원 SE</t>
    <phoneticPr fontId="15" type="noConversion"/>
  </si>
  <si>
    <t>-이하 여백-</t>
    <phoneticPr fontId="15" type="noConversion"/>
  </si>
  <si>
    <t>*1M = 20.5일</t>
    <phoneticPr fontId="15" type="noConversion"/>
  </si>
  <si>
    <t>M/M기준 : 하루 8시간 20.5일</t>
    <phoneticPr fontId="15" type="noConversion"/>
  </si>
  <si>
    <t>작성자 : 이민재,이경국</t>
    <phoneticPr fontId="15" type="noConversion"/>
  </si>
  <si>
    <t>⑥ IT아키텍트</t>
    <phoneticPr fontId="15" type="noConversion"/>
  </si>
  <si>
    <t>IT아키텍트</t>
    <phoneticPr fontId="15" type="noConversion"/>
  </si>
  <si>
    <t>← ※ 오른쪽 색상으로 배경 처리된 곳의 데이터만 수정가능 합니다. 나머지 데이터는 자동연산되도록 되어있으니 수정하지 마세요.</t>
    <phoneticPr fontId="15" type="noConversion"/>
  </si>
  <si>
    <t>(주)시오랩</t>
    <phoneticPr fontId="15" type="noConversion"/>
  </si>
  <si>
    <t>임명열 이사님</t>
    <phoneticPr fontId="15" type="noConversion"/>
  </si>
  <si>
    <t>010-6319-6461</t>
    <phoneticPr fontId="15" type="noConversion"/>
  </si>
  <si>
    <t>mylim@seiolab.com</t>
    <phoneticPr fontId="15" type="noConversion"/>
  </si>
  <si>
    <t xml:space="preserve"> 신한은행TDM솔루션개발</t>
    <phoneticPr fontId="15" type="noConversion"/>
  </si>
  <si>
    <t>포탈 구축</t>
    <phoneticPr fontId="15" type="noConversion"/>
  </si>
  <si>
    <t>- 로그인,로그아웃,비밀번호변경,메뉴 프레임
- 대메뉴 : 대시보드,백업관리,Clone DB관리,데이터변환,워크플로우,모니터링,실시간 변환 모니터링,사용자관리
- 로그인할 수 있는 계정은 사용자관리에서 계정 생성하고, 계정 생성 및 비밀번호 초기화 시 지정된 비번으로 로그인 후 비밀번호 변경해서 사용
- 데이터 수신 받아 화면에 노출하는 부분 개발</t>
    <phoneticPr fontId="15" type="noConversion"/>
  </si>
  <si>
    <t>- 백업 : 백업/복구, 백업/복구 리스트 관리
- TEST&amp;DEV : CLONE DB 생성, ORACLE CLONE DB 생성 / 삭제 
- 계정 관리
- 스토리지 용량 모니터링 / 성능 모니터링
- 위에 부분 기능 정의 후 각 필요 인터페이스 개발 후 포탈 연동 부분 개발</t>
    <phoneticPr fontId="15" type="noConversion"/>
  </si>
  <si>
    <t>데이터처리 쉘 적용</t>
    <phoneticPr fontId="15" type="noConversion"/>
  </si>
  <si>
    <t>- 마스킹할 데이터 처리용 쉘 스크립트 시스템 적용 개발</t>
    <phoneticPr fontId="15" type="noConversion"/>
  </si>
  <si>
    <t>마스킹데이터 이관 및 처리</t>
    <phoneticPr fontId="15" type="noConversion"/>
  </si>
  <si>
    <t>검증 및 테스트</t>
    <phoneticPr fontId="15" type="noConversion"/>
  </si>
  <si>
    <t>인터페이스 연동
(Cohesity Data Protection REST API)</t>
    <phoneticPr fontId="15" type="noConversion"/>
  </si>
  <si>
    <t>- 데이터 이관 및 마스킹 처리 개발(기존 XDATAMIGRATOR 부분)</t>
    <phoneticPr fontId="15" type="noConversion"/>
  </si>
  <si>
    <t>- 마스킹 처리 테스트 및 검증
- 쉘 처리 검증
- 인터페이스 연동 및 포탈 테스트</t>
    <phoneticPr fontId="15" type="noConversion"/>
  </si>
  <si>
    <t>- 오픈 후 모니터링</t>
    <phoneticPr fontId="15" type="noConversion"/>
  </si>
  <si>
    <t>작성자 : 이경국</t>
    <phoneticPr fontId="15" type="noConversion"/>
  </si>
  <si>
    <t>\</t>
    <phoneticPr fontId="15" type="noConversion"/>
  </si>
  <si>
    <t>PC</t>
    <phoneticPr fontId="15" type="noConversion"/>
  </si>
  <si>
    <t>- 모바일 버전은 없고 PC 최적화 기준
- 전달 받은 포탈 시안(대메뉴 : 대시보드,백업관리,Clone DB관리,데이터변환,워크플로우,모니터링,실시간 변환 모니터링)에 로그인,사용자관리 포함</t>
    <phoneticPr fontId="15" type="noConversion"/>
  </si>
  <si>
    <t>문서작업</t>
    <phoneticPr fontId="15" type="noConversion"/>
  </si>
  <si>
    <t>- 요구사항 정의서 등 문서작업</t>
    <phoneticPr fontId="15" type="noConversion"/>
  </si>
  <si>
    <t>- 프로세스 정리 및 검증
- 백엔드 아키텍쳐 수립</t>
    <phoneticPr fontId="15" type="noConversion"/>
  </si>
  <si>
    <t>- 디자인은 전달 받은 포탈 시안 적용 전제로 변경사항 발생 시 투입</t>
    <phoneticPr fontId="15" type="noConversion"/>
  </si>
  <si>
    <t>* 6개월 대비 50% 투입률로 적용</t>
    <phoneticPr fontId="15" type="noConversion"/>
  </si>
  <si>
    <t>- 서버 스펙 구성
  -&gt; 호환성 및 성능확인을 위한 기존 인프라(서버&amp;네트워크)실사 
  -&gt; 신규 서버스펙 확인 및 확정전달
- 개발서버 구성
  -&gt; OS구성 
  -&gt; 미들웨어 구성 
  -&gt; 배포 및 기타 서비스 구성 후 테스트
- 운영서버 구성
  -&gt; OS구성 
  -&gt; 미들웨어 구성 
  -&gt; 성능관리도구 설치 및 테스트</t>
    <phoneticPr fontId="15" type="noConversion"/>
  </si>
  <si>
    <t>- 데이터 변환 서버를 구성해야 할 경우
  -&gt; 대용량 처리시스템 최신 레퍼런스 분석 
  -&gt; 신규서버 아키텍처 및 상세 스펙 확정
- 서버구성
  -&gt; OS구성
  -&gt; ORACLE DBMS 설치 및 볼륨구성 등
- 개발 지원
- 성능 테스트 및 서버 튜닝 10day</t>
    <phoneticPr fontId="15" type="noConversion"/>
  </si>
  <si>
    <t>서버구성</t>
    <phoneticPr fontId="15" type="noConversion"/>
  </si>
  <si>
    <t>포탈 웹서버</t>
    <phoneticPr fontId="15" type="noConversion"/>
  </si>
  <si>
    <t>데이터 변환 서버</t>
    <phoneticPr fontId="15" type="noConversion"/>
  </si>
  <si>
    <t>데이터 변환 서버를 구성해야 할 경우 발생</t>
    <phoneticPr fontId="15" type="noConversion"/>
  </si>
  <si>
    <t>* 프로젝트 예상 기간 총 6개월</t>
    <phoneticPr fontId="15" type="noConversion"/>
  </si>
  <si>
    <t>요구사항 정의 및 문서작업</t>
    <phoneticPr fontId="15" type="noConversion"/>
  </si>
  <si>
    <t>디자인(포탈 시안에서 변경 시 발생)</t>
    <phoneticPr fontId="15" type="noConversion"/>
  </si>
  <si>
    <t>퍼블리싱(포탈 시안 기준 작성)</t>
    <phoneticPr fontId="15" type="noConversion"/>
  </si>
  <si>
    <t>전체 백엔드 프로세스 설계 및 검증</t>
    <phoneticPr fontId="15" type="noConversion"/>
  </si>
  <si>
    <t>개발 및 테스트</t>
    <phoneticPr fontId="15" type="noConversion"/>
  </si>
  <si>
    <t>웹서버 구축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</si>
</sst>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0;[Red]0"/>
    <numFmt numFmtId="178" formatCode="&quot;₩&quot;#,##0&quot;원(부가세별도)&quot;"/>
    <numFmt numFmtId="179" formatCode="_-[$₩-412]* #,##0_-;\-[$₩-412]* #,##0_-;_-[$₩-412]* &quot;-&quot;??_-;_-@_-"/>
  </numFmts>
  <fonts count="55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Helv"/>
      <family val="2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28"/>
      <color indexed="8"/>
      <name val="맑은 고딕"/>
      <family val="3"/>
      <charset val="129"/>
      <scheme val="minor"/>
    </font>
    <font>
      <u/>
      <sz val="10"/>
      <color theme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b/>
      <u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  <font>
      <sz val="9"/>
      <name val="맑은 고딕"/>
      <family val="2"/>
      <charset val="129"/>
    </font>
    <font>
      <sz val="9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9"/>
      </left>
      <right/>
      <top/>
      <bottom/>
      <diagonal/>
    </border>
    <border>
      <left/>
      <right style="thick">
        <color indexed="9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1">
    <xf numFmtId="0" fontId="0" fillId="0" borderId="0"/>
    <xf numFmtId="0" fontId="14" fillId="0" borderId="0">
      <alignment vertical="center"/>
    </xf>
    <xf numFmtId="0" fontId="17" fillId="0" borderId="0"/>
    <xf numFmtId="0" fontId="19" fillId="0" borderId="0"/>
    <xf numFmtId="0" fontId="23" fillId="0" borderId="0"/>
    <xf numFmtId="41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0" borderId="0"/>
    <xf numFmtId="0" fontId="13" fillId="0" borderId="0">
      <alignment vertical="center"/>
    </xf>
    <xf numFmtId="0" fontId="32" fillId="0" borderId="0" applyNumberFormat="0" applyFill="0" applyBorder="0" applyAlignment="0" applyProtection="0"/>
    <xf numFmtId="0" fontId="12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3" fillId="0" borderId="0"/>
    <xf numFmtId="0" fontId="3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3" fillId="0" borderId="0"/>
  </cellStyleXfs>
  <cellXfs count="284">
    <xf numFmtId="0" fontId="0" fillId="0" borderId="0" xfId="0"/>
    <xf numFmtId="0" fontId="20" fillId="0" borderId="0" xfId="3" applyFont="1"/>
    <xf numFmtId="0" fontId="20" fillId="0" borderId="0" xfId="3" applyFont="1" applyAlignment="1">
      <alignment horizontal="center"/>
    </xf>
    <xf numFmtId="0" fontId="20" fillId="0" borderId="0" xfId="3" applyFont="1" applyAlignment="1">
      <alignment horizontal="left"/>
    </xf>
    <xf numFmtId="0" fontId="20" fillId="2" borderId="0" xfId="3" applyFont="1" applyFill="1"/>
    <xf numFmtId="0" fontId="21" fillId="2" borderId="0" xfId="3" applyFont="1" applyFill="1" applyAlignment="1">
      <alignment vertical="center"/>
    </xf>
    <xf numFmtId="0" fontId="16" fillId="0" borderId="0" xfId="3" applyFont="1"/>
    <xf numFmtId="0" fontId="16" fillId="0" borderId="0" xfId="3" applyFont="1" applyAlignment="1">
      <alignment vertical="center"/>
    </xf>
    <xf numFmtId="0" fontId="16" fillId="2" borderId="0" xfId="3" applyFont="1" applyFill="1"/>
    <xf numFmtId="0" fontId="16" fillId="0" borderId="0" xfId="4" applyFont="1"/>
    <xf numFmtId="41" fontId="16" fillId="0" borderId="0" xfId="5" applyFont="1" applyAlignment="1"/>
    <xf numFmtId="0" fontId="16" fillId="2" borderId="0" xfId="3" applyFont="1" applyFill="1" applyAlignment="1">
      <alignment vertical="center"/>
    </xf>
    <xf numFmtId="0" fontId="16" fillId="0" borderId="0" xfId="7" applyFont="1">
      <alignment vertical="center"/>
    </xf>
    <xf numFmtId="176" fontId="24" fillId="3" borderId="8" xfId="3" applyNumberFormat="1" applyFont="1" applyFill="1" applyBorder="1" applyAlignment="1">
      <alignment horizontal="left" vertical="center"/>
    </xf>
    <xf numFmtId="176" fontId="24" fillId="3" borderId="8" xfId="3" applyNumberFormat="1" applyFont="1" applyFill="1" applyBorder="1" applyAlignment="1">
      <alignment vertical="center"/>
    </xf>
    <xf numFmtId="41" fontId="24" fillId="3" borderId="7" xfId="8" applyFont="1" applyFill="1" applyBorder="1" applyAlignment="1">
      <alignment horizontal="center" vertical="center"/>
    </xf>
    <xf numFmtId="176" fontId="16" fillId="2" borderId="11" xfId="10" applyFont="1" applyFill="1" applyBorder="1" applyAlignment="1">
      <alignment horizontal="left" vertical="center"/>
    </xf>
    <xf numFmtId="41" fontId="16" fillId="2" borderId="10" xfId="8" applyFont="1" applyFill="1" applyBorder="1" applyAlignment="1">
      <alignment horizontal="center" vertical="center"/>
    </xf>
    <xf numFmtId="0" fontId="24" fillId="0" borderId="0" xfId="3" applyFont="1" applyAlignment="1">
      <alignment vertical="center"/>
    </xf>
    <xf numFmtId="0" fontId="24" fillId="0" borderId="0" xfId="4" applyFont="1"/>
    <xf numFmtId="0" fontId="20" fillId="0" borderId="0" xfId="3" applyFont="1" applyAlignment="1">
      <alignment vertical="center"/>
    </xf>
    <xf numFmtId="0" fontId="21" fillId="0" borderId="0" xfId="12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178" fontId="27" fillId="0" borderId="0" xfId="5" applyNumberFormat="1" applyFont="1" applyAlignment="1">
      <alignment horizontal="left" vertical="center"/>
    </xf>
    <xf numFmtId="0" fontId="21" fillId="0" borderId="0" xfId="12" applyFont="1" applyAlignment="1">
      <alignment vertical="center"/>
    </xf>
    <xf numFmtId="0" fontId="21" fillId="0" borderId="0" xfId="3" applyFont="1" applyAlignment="1">
      <alignment horizontal="left" vertical="center"/>
    </xf>
    <xf numFmtId="0" fontId="16" fillId="0" borderId="17" xfId="3" applyFont="1" applyBorder="1" applyAlignment="1">
      <alignment horizontal="right"/>
    </xf>
    <xf numFmtId="0" fontId="21" fillId="0" borderId="0" xfId="3" applyFont="1" applyAlignment="1">
      <alignment vertical="center"/>
    </xf>
    <xf numFmtId="14" fontId="16" fillId="0" borderId="9" xfId="3" applyNumberFormat="1" applyFont="1" applyBorder="1" applyAlignment="1">
      <alignment horizontal="left" vertical="center"/>
    </xf>
    <xf numFmtId="41" fontId="21" fillId="0" borderId="0" xfId="5" applyFont="1" applyAlignment="1">
      <alignment horizontal="left" vertical="center"/>
    </xf>
    <xf numFmtId="41" fontId="21" fillId="0" borderId="0" xfId="5" applyFont="1">
      <alignment vertical="center"/>
    </xf>
    <xf numFmtId="0" fontId="16" fillId="0" borderId="9" xfId="3" applyFont="1" applyBorder="1" applyAlignment="1">
      <alignment horizontal="left" vertical="center"/>
    </xf>
    <xf numFmtId="0" fontId="28" fillId="0" borderId="0" xfId="3" applyFont="1" applyAlignment="1">
      <alignment vertical="center"/>
    </xf>
    <xf numFmtId="0" fontId="16" fillId="0" borderId="17" xfId="3" applyFont="1" applyBorder="1" applyAlignment="1">
      <alignment horizontal="left" vertical="center"/>
    </xf>
    <xf numFmtId="0" fontId="29" fillId="2" borderId="0" xfId="3" applyFont="1" applyFill="1"/>
    <xf numFmtId="0" fontId="30" fillId="2" borderId="0" xfId="3" applyFont="1" applyFill="1" applyAlignment="1">
      <alignment horizontal="center" vertical="center"/>
    </xf>
    <xf numFmtId="0" fontId="31" fillId="2" borderId="0" xfId="3" applyFont="1" applyFill="1" applyAlignment="1">
      <alignment horizontal="center" vertical="center"/>
    </xf>
    <xf numFmtId="0" fontId="32" fillId="0" borderId="17" xfId="14" applyBorder="1" applyAlignment="1">
      <alignment vertical="center"/>
    </xf>
    <xf numFmtId="0" fontId="16" fillId="0" borderId="17" xfId="3" applyFont="1" applyBorder="1" applyAlignment="1">
      <alignment horizontal="right" vertical="center"/>
    </xf>
    <xf numFmtId="0" fontId="16" fillId="0" borderId="9" xfId="3" applyFont="1" applyBorder="1" applyAlignment="1">
      <alignment horizontal="right" vertical="center"/>
    </xf>
    <xf numFmtId="14" fontId="16" fillId="0" borderId="0" xfId="3" applyNumberFormat="1" applyFont="1" applyAlignment="1">
      <alignment horizontal="left" vertical="center"/>
    </xf>
    <xf numFmtId="0" fontId="31" fillId="2" borderId="5" xfId="3" applyFont="1" applyFill="1" applyBorder="1" applyAlignment="1">
      <alignment horizontal="center" vertical="center"/>
    </xf>
    <xf numFmtId="0" fontId="31" fillId="2" borderId="4" xfId="3" applyFont="1" applyFill="1" applyBorder="1" applyAlignment="1">
      <alignment horizontal="center" vertical="center"/>
    </xf>
    <xf numFmtId="14" fontId="16" fillId="0" borderId="21" xfId="3" applyNumberFormat="1" applyFont="1" applyBorder="1" applyAlignment="1">
      <alignment horizontal="left" vertical="center"/>
    </xf>
    <xf numFmtId="14" fontId="16" fillId="0" borderId="22" xfId="3" applyNumberFormat="1" applyFont="1" applyBorder="1" applyAlignment="1">
      <alignment horizontal="left" vertical="center"/>
    </xf>
    <xf numFmtId="0" fontId="16" fillId="0" borderId="21" xfId="7" applyFont="1" applyBorder="1">
      <alignment vertical="center"/>
    </xf>
    <xf numFmtId="0" fontId="27" fillId="0" borderId="4" xfId="12" applyFont="1" applyBorder="1" applyAlignment="1">
      <alignment horizontal="left" vertical="top"/>
    </xf>
    <xf numFmtId="0" fontId="26" fillId="0" borderId="4" xfId="12" applyFont="1" applyBorder="1" applyAlignment="1">
      <alignment horizontal="right" vertical="top"/>
    </xf>
    <xf numFmtId="176" fontId="16" fillId="2" borderId="18" xfId="10" applyFont="1" applyFill="1" applyBorder="1" applyAlignment="1">
      <alignment horizontal="left" vertical="center"/>
    </xf>
    <xf numFmtId="176" fontId="24" fillId="3" borderId="26" xfId="3" applyNumberFormat="1" applyFont="1" applyFill="1" applyBorder="1" applyAlignment="1">
      <alignment vertical="center"/>
    </xf>
    <xf numFmtId="0" fontId="20" fillId="0" borderId="5" xfId="3" applyFont="1" applyBorder="1" applyAlignment="1">
      <alignment horizontal="center"/>
    </xf>
    <xf numFmtId="0" fontId="20" fillId="0" borderId="4" xfId="3" applyFont="1" applyBorder="1"/>
    <xf numFmtId="0" fontId="20" fillId="0" borderId="29" xfId="3" applyFont="1" applyBorder="1" applyAlignment="1">
      <alignment horizontal="center"/>
    </xf>
    <xf numFmtId="0" fontId="20" fillId="0" borderId="3" xfId="3" applyFont="1" applyBorder="1" applyAlignment="1">
      <alignment horizontal="left"/>
    </xf>
    <xf numFmtId="0" fontId="20" fillId="0" borderId="3" xfId="3" applyFont="1" applyBorder="1" applyAlignment="1">
      <alignment horizontal="center"/>
    </xf>
    <xf numFmtId="0" fontId="20" fillId="0" borderId="3" xfId="3" applyFont="1" applyBorder="1"/>
    <xf numFmtId="0" fontId="20" fillId="0" borderId="30" xfId="3" applyFont="1" applyBorder="1"/>
    <xf numFmtId="0" fontId="16" fillId="0" borderId="5" xfId="3" applyFont="1" applyBorder="1" applyAlignment="1">
      <alignment horizontal="center" vertical="center"/>
    </xf>
    <xf numFmtId="0" fontId="22" fillId="0" borderId="5" xfId="4" applyFont="1" applyBorder="1" applyAlignment="1">
      <alignment horizontal="center" vertical="center"/>
    </xf>
    <xf numFmtId="0" fontId="24" fillId="2" borderId="23" xfId="3" applyFont="1" applyFill="1" applyBorder="1" applyAlignment="1">
      <alignment horizontal="center" vertical="center"/>
    </xf>
    <xf numFmtId="49" fontId="16" fillId="0" borderId="5" xfId="3" applyNumberFormat="1" applyFont="1" applyBorder="1" applyAlignment="1">
      <alignment horizontal="right" vertical="center" indent="1"/>
    </xf>
    <xf numFmtId="0" fontId="34" fillId="0" borderId="0" xfId="2" applyFont="1"/>
    <xf numFmtId="2" fontId="34" fillId="0" borderId="0" xfId="2" applyNumberFormat="1" applyFont="1"/>
    <xf numFmtId="3" fontId="34" fillId="0" borderId="0" xfId="2" applyNumberFormat="1" applyFont="1"/>
    <xf numFmtId="0" fontId="34" fillId="0" borderId="0" xfId="2" applyFont="1" applyAlignment="1">
      <alignment horizontal="right"/>
    </xf>
    <xf numFmtId="0" fontId="34" fillId="0" borderId="33" xfId="2" applyFont="1" applyBorder="1"/>
    <xf numFmtId="0" fontId="34" fillId="8" borderId="33" xfId="2" applyFont="1" applyFill="1" applyBorder="1"/>
    <xf numFmtId="0" fontId="35" fillId="0" borderId="0" xfId="2" applyFont="1" applyAlignment="1">
      <alignment horizontal="center"/>
    </xf>
    <xf numFmtId="0" fontId="16" fillId="10" borderId="0" xfId="2" applyFont="1" applyFill="1"/>
    <xf numFmtId="0" fontId="34" fillId="11" borderId="11" xfId="2" applyFont="1" applyFill="1" applyBorder="1"/>
    <xf numFmtId="0" fontId="24" fillId="4" borderId="34" xfId="3" applyFont="1" applyFill="1" applyBorder="1" applyAlignment="1">
      <alignment horizontal="center" vertical="center"/>
    </xf>
    <xf numFmtId="0" fontId="24" fillId="4" borderId="36" xfId="3" applyFont="1" applyFill="1" applyBorder="1" applyAlignment="1">
      <alignment horizontal="center" vertical="center"/>
    </xf>
    <xf numFmtId="176" fontId="27" fillId="5" borderId="11" xfId="3" applyNumberFormat="1" applyFont="1" applyFill="1" applyBorder="1" applyAlignment="1">
      <alignment vertical="center"/>
    </xf>
    <xf numFmtId="41" fontId="16" fillId="2" borderId="11" xfId="8" applyFont="1" applyFill="1" applyBorder="1" applyAlignment="1">
      <alignment horizontal="center" vertical="center"/>
    </xf>
    <xf numFmtId="176" fontId="16" fillId="2" borderId="18" xfId="11" applyFont="1" applyFill="1" applyBorder="1" applyAlignment="1">
      <alignment vertical="center"/>
    </xf>
    <xf numFmtId="0" fontId="16" fillId="0" borderId="4" xfId="3" applyFont="1" applyBorder="1" applyAlignment="1">
      <alignment horizontal="left" vertical="center"/>
    </xf>
    <xf numFmtId="0" fontId="24" fillId="4" borderId="35" xfId="3" applyFont="1" applyFill="1" applyBorder="1" applyAlignment="1">
      <alignment horizontal="center" vertical="center"/>
    </xf>
    <xf numFmtId="176" fontId="24" fillId="3" borderId="38" xfId="10" applyFont="1" applyFill="1" applyBorder="1" applyAlignment="1">
      <alignment horizontal="left" vertical="center"/>
    </xf>
    <xf numFmtId="176" fontId="27" fillId="3" borderId="38" xfId="10" applyFont="1" applyFill="1" applyBorder="1" applyAlignment="1">
      <alignment horizontal="left" vertical="center"/>
    </xf>
    <xf numFmtId="176" fontId="27" fillId="3" borderId="37" xfId="10" applyFont="1" applyFill="1" applyBorder="1" applyAlignment="1">
      <alignment horizontal="left" vertical="center"/>
    </xf>
    <xf numFmtId="177" fontId="16" fillId="0" borderId="0" xfId="4" applyNumberFormat="1" applyFont="1"/>
    <xf numFmtId="49" fontId="16" fillId="0" borderId="0" xfId="3" applyNumberFormat="1" applyFont="1" applyAlignment="1">
      <alignment horizontal="right" vertical="center" indent="1"/>
    </xf>
    <xf numFmtId="0" fontId="16" fillId="0" borderId="0" xfId="3" applyFont="1" applyAlignment="1">
      <alignment horizontal="left" vertical="center"/>
    </xf>
    <xf numFmtId="176" fontId="39" fillId="3" borderId="38" xfId="10" applyFont="1" applyFill="1" applyBorder="1" applyAlignment="1">
      <alignment horizontal="left" vertical="center"/>
    </xf>
    <xf numFmtId="0" fontId="34" fillId="8" borderId="0" xfId="2" applyFont="1" applyFill="1"/>
    <xf numFmtId="0" fontId="34" fillId="6" borderId="11" xfId="2" applyFont="1" applyFill="1" applyBorder="1" applyAlignment="1">
      <alignment horizontal="center" vertical="center"/>
    </xf>
    <xf numFmtId="0" fontId="34" fillId="7" borderId="11" xfId="2" applyFont="1" applyFill="1" applyBorder="1" applyAlignment="1">
      <alignment horizontal="center" vertical="center"/>
    </xf>
    <xf numFmtId="3" fontId="34" fillId="9" borderId="11" xfId="2" applyNumberFormat="1" applyFont="1" applyFill="1" applyBorder="1" applyAlignment="1">
      <alignment vertical="center"/>
    </xf>
    <xf numFmtId="0" fontId="34" fillId="9" borderId="11" xfId="2" applyFont="1" applyFill="1" applyBorder="1" applyAlignment="1">
      <alignment horizontal="center" vertical="center"/>
    </xf>
    <xf numFmtId="2" fontId="34" fillId="9" borderId="11" xfId="2" applyNumberFormat="1" applyFont="1" applyFill="1" applyBorder="1" applyAlignment="1">
      <alignment horizontal="center" vertical="center"/>
    </xf>
    <xf numFmtId="0" fontId="35" fillId="8" borderId="11" xfId="2" applyFont="1" applyFill="1" applyBorder="1" applyAlignment="1">
      <alignment horizontal="center" vertical="center"/>
    </xf>
    <xf numFmtId="0" fontId="34" fillId="8" borderId="11" xfId="2" applyFont="1" applyFill="1" applyBorder="1" applyAlignment="1">
      <alignment vertical="center"/>
    </xf>
    <xf numFmtId="40" fontId="16" fillId="2" borderId="11" xfId="8" applyNumberFormat="1" applyFont="1" applyFill="1" applyBorder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22" fillId="0" borderId="0" xfId="3" applyFont="1" applyAlignment="1">
      <alignment horizontal="right"/>
    </xf>
    <xf numFmtId="0" fontId="22" fillId="0" borderId="0" xfId="3" applyFont="1" applyAlignment="1">
      <alignment horizontal="center"/>
    </xf>
    <xf numFmtId="0" fontId="22" fillId="0" borderId="0" xfId="3" applyFont="1"/>
    <xf numFmtId="0" fontId="22" fillId="0" borderId="40" xfId="3" applyFont="1" applyBorder="1" applyAlignment="1">
      <alignment horizontal="right"/>
    </xf>
    <xf numFmtId="0" fontId="22" fillId="0" borderId="40" xfId="3" applyFont="1" applyBorder="1" applyAlignment="1">
      <alignment horizontal="center"/>
    </xf>
    <xf numFmtId="0" fontId="22" fillId="0" borderId="40" xfId="3" applyFont="1" applyBorder="1"/>
    <xf numFmtId="0" fontId="27" fillId="2" borderId="0" xfId="3" applyFont="1" applyFill="1" applyAlignment="1">
      <alignment vertical="center"/>
    </xf>
    <xf numFmtId="0" fontId="16" fillId="0" borderId="0" xfId="3" quotePrefix="1" applyFont="1" applyAlignment="1">
      <alignment horizontal="left" vertical="center"/>
    </xf>
    <xf numFmtId="0" fontId="32" fillId="0" borderId="0" xfId="14" applyFill="1" applyBorder="1" applyAlignment="1">
      <alignment vertical="center"/>
    </xf>
    <xf numFmtId="0" fontId="33" fillId="0" borderId="0" xfId="2" applyFont="1" applyAlignment="1">
      <alignment vertical="center"/>
    </xf>
    <xf numFmtId="41" fontId="17" fillId="8" borderId="11" xfId="22" applyFill="1" applyBorder="1" applyAlignment="1">
      <alignment vertical="center"/>
    </xf>
    <xf numFmtId="0" fontId="40" fillId="0" borderId="0" xfId="2" applyFont="1"/>
    <xf numFmtId="0" fontId="41" fillId="0" borderId="0" xfId="39" applyFont="1" applyAlignment="1">
      <alignment horizontal="left" vertical="center"/>
    </xf>
    <xf numFmtId="0" fontId="42" fillId="0" borderId="0" xfId="39" applyFont="1">
      <alignment vertical="center"/>
    </xf>
    <xf numFmtId="0" fontId="42" fillId="0" borderId="0" xfId="39" applyFont="1" applyAlignment="1">
      <alignment horizontal="center" vertical="center" wrapText="1"/>
    </xf>
    <xf numFmtId="0" fontId="42" fillId="0" borderId="0" xfId="39" applyFont="1" applyAlignment="1">
      <alignment vertical="center" wrapText="1"/>
    </xf>
    <xf numFmtId="0" fontId="43" fillId="0" borderId="0" xfId="39" applyFont="1" applyAlignment="1">
      <alignment horizontal="center" vertical="center"/>
    </xf>
    <xf numFmtId="0" fontId="43" fillId="0" borderId="0" xfId="39" applyFont="1">
      <alignment vertical="center"/>
    </xf>
    <xf numFmtId="0" fontId="42" fillId="0" borderId="0" xfId="39" applyFont="1" applyAlignment="1">
      <alignment horizontal="right" vertical="center"/>
    </xf>
    <xf numFmtId="0" fontId="42" fillId="0" borderId="0" xfId="39" applyFont="1" applyAlignment="1">
      <alignment horizontal="center" vertical="center"/>
    </xf>
    <xf numFmtId="49" fontId="42" fillId="0" borderId="0" xfId="39" applyNumberFormat="1" applyFont="1" applyAlignment="1">
      <alignment horizontal="right" vertical="center"/>
    </xf>
    <xf numFmtId="0" fontId="41" fillId="0" borderId="0" xfId="2" applyFont="1" applyAlignment="1">
      <alignment horizontal="left" vertical="center" wrapText="1"/>
    </xf>
    <xf numFmtId="0" fontId="41" fillId="0" borderId="0" xfId="2" applyFont="1" applyAlignment="1">
      <alignment vertical="center" wrapText="1"/>
    </xf>
    <xf numFmtId="0" fontId="41" fillId="0" borderId="0" xfId="2" applyFont="1" applyAlignment="1">
      <alignment horizontal="center" vertical="center" wrapText="1"/>
    </xf>
    <xf numFmtId="49" fontId="41" fillId="0" borderId="0" xfId="2" applyNumberFormat="1" applyFont="1" applyAlignment="1">
      <alignment horizontal="center" vertical="center" wrapText="1"/>
    </xf>
    <xf numFmtId="0" fontId="42" fillId="0" borderId="0" xfId="2" applyFont="1" applyAlignment="1">
      <alignment vertical="center" wrapText="1"/>
    </xf>
    <xf numFmtId="0" fontId="42" fillId="0" borderId="0" xfId="2" applyFont="1"/>
    <xf numFmtId="0" fontId="41" fillId="0" borderId="0" xfId="2" applyFont="1" applyAlignment="1">
      <alignment horizontal="left" vertical="center"/>
    </xf>
    <xf numFmtId="0" fontId="41" fillId="0" borderId="0" xfId="39" applyFont="1" applyAlignment="1">
      <alignment horizontal="right" vertical="center"/>
    </xf>
    <xf numFmtId="0" fontId="44" fillId="8" borderId="11" xfId="2" applyFont="1" applyFill="1" applyBorder="1" applyAlignment="1">
      <alignment horizontal="left" vertical="center"/>
    </xf>
    <xf numFmtId="0" fontId="44" fillId="8" borderId="11" xfId="2" applyFont="1" applyFill="1" applyBorder="1" applyAlignment="1">
      <alignment horizontal="center" vertical="center"/>
    </xf>
    <xf numFmtId="0" fontId="44" fillId="8" borderId="11" xfId="2" applyFont="1" applyFill="1" applyBorder="1" applyAlignment="1">
      <alignment horizontal="center" vertical="center" wrapText="1"/>
    </xf>
    <xf numFmtId="0" fontId="44" fillId="0" borderId="0" xfId="2" applyFont="1"/>
    <xf numFmtId="0" fontId="45" fillId="0" borderId="0" xfId="2" applyFont="1"/>
    <xf numFmtId="0" fontId="44" fillId="0" borderId="41" xfId="2" applyFont="1" applyBorder="1" applyAlignment="1">
      <alignment horizontal="left" vertical="center"/>
    </xf>
    <xf numFmtId="0" fontId="46" fillId="0" borderId="42" xfId="2" applyFont="1" applyBorder="1" applyAlignment="1">
      <alignment vertical="center"/>
    </xf>
    <xf numFmtId="0" fontId="47" fillId="0" borderId="42" xfId="2" applyFont="1" applyBorder="1" applyAlignment="1">
      <alignment horizontal="left" vertical="center"/>
    </xf>
    <xf numFmtId="0" fontId="48" fillId="0" borderId="43" xfId="2" applyFont="1" applyBorder="1" applyAlignment="1">
      <alignment vertical="center" wrapText="1"/>
    </xf>
    <xf numFmtId="0" fontId="49" fillId="0" borderId="43" xfId="2" applyFont="1" applyBorder="1" applyAlignment="1">
      <alignment vertical="center"/>
    </xf>
    <xf numFmtId="0" fontId="49" fillId="0" borderId="44" xfId="2" quotePrefix="1" applyFont="1" applyBorder="1" applyAlignment="1">
      <alignment vertical="center" wrapText="1"/>
    </xf>
    <xf numFmtId="0" fontId="44" fillId="0" borderId="11" xfId="2" applyFont="1" applyBorder="1" applyAlignment="1">
      <alignment horizontal="center" vertical="center"/>
    </xf>
    <xf numFmtId="0" fontId="44" fillId="0" borderId="43" xfId="2" applyFont="1" applyBorder="1" applyAlignment="1">
      <alignment horizontal="center" vertical="center"/>
    </xf>
    <xf numFmtId="49" fontId="44" fillId="0" borderId="43" xfId="2" applyNumberFormat="1" applyFont="1" applyBorder="1" applyAlignment="1">
      <alignment vertical="center" wrapText="1"/>
    </xf>
    <xf numFmtId="0" fontId="44" fillId="12" borderId="11" xfId="2" applyFont="1" applyFill="1" applyBorder="1" applyAlignment="1">
      <alignment horizontal="left" vertical="center"/>
    </xf>
    <xf numFmtId="0" fontId="44" fillId="12" borderId="11" xfId="2" applyFont="1" applyFill="1" applyBorder="1" applyAlignment="1">
      <alignment vertical="center"/>
    </xf>
    <xf numFmtId="0" fontId="44" fillId="12" borderId="11" xfId="2" applyFont="1" applyFill="1" applyBorder="1" applyAlignment="1">
      <alignment vertical="center" wrapText="1"/>
    </xf>
    <xf numFmtId="0" fontId="41" fillId="0" borderId="0" xfId="39" applyFont="1" applyAlignment="1">
      <alignment horizontal="left" vertical="center" wrapText="1"/>
    </xf>
    <xf numFmtId="49" fontId="42" fillId="0" borderId="0" xfId="39" applyNumberFormat="1" applyFont="1" applyAlignment="1">
      <alignment horizontal="center" vertical="center" wrapText="1"/>
    </xf>
    <xf numFmtId="0" fontId="41" fillId="0" borderId="0" xfId="2" applyFont="1" applyAlignment="1">
      <alignment vertical="center"/>
    </xf>
    <xf numFmtId="0" fontId="41" fillId="0" borderId="0" xfId="2" applyFont="1" applyAlignment="1">
      <alignment horizontal="center" vertical="center"/>
    </xf>
    <xf numFmtId="0" fontId="44" fillId="0" borderId="11" xfId="2" applyFont="1" applyBorder="1" applyAlignment="1">
      <alignment horizontal="left" vertical="center" wrapText="1"/>
    </xf>
    <xf numFmtId="0" fontId="41" fillId="0" borderId="11" xfId="2" applyFont="1" applyBorder="1" applyAlignment="1">
      <alignment horizontal="left" vertical="center"/>
    </xf>
    <xf numFmtId="0" fontId="50" fillId="0" borderId="11" xfId="2" applyFont="1" applyBorder="1" applyAlignment="1">
      <alignment horizontal="left" vertical="center" wrapText="1"/>
    </xf>
    <xf numFmtId="0" fontId="41" fillId="0" borderId="11" xfId="2" applyFont="1" applyBorder="1" applyAlignment="1">
      <alignment horizontal="left" vertical="center" wrapText="1"/>
    </xf>
    <xf numFmtId="0" fontId="41" fillId="0" borderId="11" xfId="2" applyFont="1" applyBorder="1" applyAlignment="1">
      <alignment vertical="center" wrapText="1"/>
    </xf>
    <xf numFmtId="0" fontId="51" fillId="0" borderId="11" xfId="2" applyFont="1" applyBorder="1" applyAlignment="1">
      <alignment horizontal="left" vertical="center"/>
    </xf>
    <xf numFmtId="0" fontId="44" fillId="12" borderId="11" xfId="2" applyFont="1" applyFill="1" applyBorder="1" applyAlignment="1">
      <alignment horizontal="center" vertical="center"/>
    </xf>
    <xf numFmtId="0" fontId="48" fillId="0" borderId="43" xfId="2" applyFont="1" applyBorder="1" applyAlignment="1">
      <alignment horizontal="center" vertical="center"/>
    </xf>
    <xf numFmtId="0" fontId="41" fillId="0" borderId="0" xfId="2" quotePrefix="1" applyFont="1" applyAlignment="1">
      <alignment vertical="center" wrapText="1"/>
    </xf>
    <xf numFmtId="49" fontId="44" fillId="0" borderId="11" xfId="2" quotePrefix="1" applyNumberFormat="1" applyFont="1" applyBorder="1" applyAlignment="1">
      <alignment horizontal="left" vertical="center" wrapText="1"/>
    </xf>
    <xf numFmtId="0" fontId="51" fillId="0" borderId="11" xfId="2" applyFont="1" applyBorder="1" applyAlignment="1">
      <alignment vertical="center"/>
    </xf>
    <xf numFmtId="0" fontId="50" fillId="0" borderId="11" xfId="2" applyFont="1" applyBorder="1" applyAlignment="1">
      <alignment vertical="center"/>
    </xf>
    <xf numFmtId="0" fontId="50" fillId="0" borderId="42" xfId="2" quotePrefix="1" applyFont="1" applyBorder="1" applyAlignment="1">
      <alignment horizontal="left" vertical="center" wrapText="1"/>
    </xf>
    <xf numFmtId="0" fontId="52" fillId="0" borderId="11" xfId="2" applyFont="1" applyBorder="1" applyAlignment="1">
      <alignment horizontal="center" vertical="center"/>
    </xf>
    <xf numFmtId="0" fontId="42" fillId="0" borderId="0" xfId="2" applyFont="1" applyAlignment="1">
      <alignment vertical="center"/>
    </xf>
    <xf numFmtId="49" fontId="44" fillId="0" borderId="11" xfId="2" quotePrefix="1" applyNumberFormat="1" applyFont="1" applyBorder="1" applyAlignment="1">
      <alignment horizontal="center" vertical="center" wrapText="1"/>
    </xf>
    <xf numFmtId="0" fontId="51" fillId="0" borderId="11" xfId="2" applyFont="1" applyBorder="1" applyAlignment="1">
      <alignment vertical="center" wrapText="1"/>
    </xf>
    <xf numFmtId="0" fontId="41" fillId="0" borderId="0" xfId="2" applyFont="1" applyAlignment="1">
      <alignment horizontal="left" wrapText="1"/>
    </xf>
    <xf numFmtId="0" fontId="41" fillId="0" borderId="0" xfId="2" applyFont="1" applyAlignment="1">
      <alignment wrapText="1"/>
    </xf>
    <xf numFmtId="0" fontId="41" fillId="0" borderId="0" xfId="2" applyFont="1" applyAlignment="1">
      <alignment horizontal="center"/>
    </xf>
    <xf numFmtId="49" fontId="41" fillId="0" borderId="0" xfId="2" applyNumberFormat="1" applyFont="1" applyAlignment="1">
      <alignment horizontal="center" wrapText="1"/>
    </xf>
    <xf numFmtId="0" fontId="41" fillId="0" borderId="0" xfId="2" applyFont="1"/>
    <xf numFmtId="0" fontId="42" fillId="0" borderId="0" xfId="2" applyFont="1" applyAlignment="1">
      <alignment horizontal="left" wrapText="1"/>
    </xf>
    <xf numFmtId="0" fontId="42" fillId="0" borderId="0" xfId="2" applyFont="1" applyAlignment="1">
      <alignment wrapText="1"/>
    </xf>
    <xf numFmtId="0" fontId="42" fillId="0" borderId="0" xfId="2" applyFont="1" applyAlignment="1">
      <alignment horizontal="center"/>
    </xf>
    <xf numFmtId="49" fontId="42" fillId="0" borderId="0" xfId="2" applyNumberFormat="1" applyFont="1" applyAlignment="1">
      <alignment horizontal="center" wrapText="1"/>
    </xf>
    <xf numFmtId="0" fontId="54" fillId="0" borderId="0" xfId="2" applyFont="1"/>
    <xf numFmtId="0" fontId="48" fillId="0" borderId="45" xfId="0" applyFont="1" applyBorder="1" applyAlignment="1">
      <alignment horizontal="left" vertical="center"/>
    </xf>
    <xf numFmtId="0" fontId="46" fillId="0" borderId="42" xfId="0" applyFont="1" applyBorder="1" applyAlignment="1">
      <alignment vertical="center"/>
    </xf>
    <xf numFmtId="0" fontId="47" fillId="0" borderId="42" xfId="0" applyFont="1" applyBorder="1" applyAlignment="1">
      <alignment horizontal="left" vertical="center"/>
    </xf>
    <xf numFmtId="0" fontId="48" fillId="0" borderId="43" xfId="0" applyFont="1" applyBorder="1" applyAlignment="1">
      <alignment vertical="center" wrapText="1"/>
    </xf>
    <xf numFmtId="0" fontId="49" fillId="0" borderId="43" xfId="0" applyFont="1" applyBorder="1" applyAlignment="1">
      <alignment vertical="center"/>
    </xf>
    <xf numFmtId="0" fontId="48" fillId="0" borderId="10" xfId="0" applyFont="1" applyBorder="1" applyAlignment="1">
      <alignment horizontal="center" vertical="center"/>
    </xf>
    <xf numFmtId="0" fontId="48" fillId="0" borderId="42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/>
    </xf>
    <xf numFmtId="0" fontId="44" fillId="0" borderId="11" xfId="0" quotePrefix="1" applyFont="1" applyBorder="1" applyAlignment="1">
      <alignment horizontal="left" vertical="center" wrapText="1"/>
    </xf>
    <xf numFmtId="0" fontId="49" fillId="0" borderId="11" xfId="0" applyFont="1" applyBorder="1" applyAlignment="1">
      <alignment vertical="center" wrapText="1"/>
    </xf>
    <xf numFmtId="0" fontId="49" fillId="0" borderId="46" xfId="0" applyFont="1" applyBorder="1" applyAlignment="1">
      <alignment vertical="center"/>
    </xf>
    <xf numFmtId="0" fontId="51" fillId="0" borderId="11" xfId="0" applyFont="1" applyBorder="1" applyAlignment="1">
      <alignment vertical="center"/>
    </xf>
    <xf numFmtId="0" fontId="41" fillId="0" borderId="11" xfId="0" applyFont="1" applyBorder="1" applyAlignment="1">
      <alignment vertical="center" wrapText="1"/>
    </xf>
    <xf numFmtId="0" fontId="50" fillId="0" borderId="10" xfId="0" applyFont="1" applyBorder="1" applyAlignment="1">
      <alignment vertical="center"/>
    </xf>
    <xf numFmtId="0" fontId="50" fillId="0" borderId="11" xfId="0" quotePrefix="1" applyFont="1" applyBorder="1" applyAlignment="1">
      <alignment vertical="center" wrapText="1"/>
    </xf>
    <xf numFmtId="0" fontId="53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center"/>
    </xf>
    <xf numFmtId="0" fontId="50" fillId="0" borderId="11" xfId="0" applyFont="1" applyBorder="1" applyAlignment="1">
      <alignment vertical="center"/>
    </xf>
    <xf numFmtId="0" fontId="50" fillId="0" borderId="47" xfId="0" quotePrefix="1" applyFont="1" applyBorder="1" applyAlignment="1">
      <alignment horizontal="left" vertical="center" wrapText="1"/>
    </xf>
    <xf numFmtId="0" fontId="44" fillId="0" borderId="41" xfId="0" applyFont="1" applyBorder="1" applyAlignment="1">
      <alignment horizontal="left" vertical="center"/>
    </xf>
    <xf numFmtId="0" fontId="41" fillId="0" borderId="41" xfId="0" quotePrefix="1" applyFont="1" applyBorder="1" applyAlignment="1">
      <alignment horizontal="left" vertical="center" wrapText="1"/>
    </xf>
    <xf numFmtId="0" fontId="44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horizontal="left" vertical="center" wrapText="1"/>
    </xf>
    <xf numFmtId="0" fontId="44" fillId="0" borderId="11" xfId="0" applyFont="1" applyBorder="1" applyAlignment="1">
      <alignment vertical="center"/>
    </xf>
    <xf numFmtId="0" fontId="44" fillId="0" borderId="11" xfId="0" quotePrefix="1" applyFont="1" applyBorder="1" applyAlignment="1">
      <alignment horizontal="left" vertical="center"/>
    </xf>
    <xf numFmtId="0" fontId="41" fillId="0" borderId="11" xfId="0" applyFont="1" applyBorder="1" applyAlignment="1">
      <alignment vertical="center"/>
    </xf>
    <xf numFmtId="0" fontId="44" fillId="0" borderId="11" xfId="0" quotePrefix="1" applyFont="1" applyBorder="1" applyAlignment="1">
      <alignment vertical="center" wrapText="1"/>
    </xf>
    <xf numFmtId="0" fontId="31" fillId="2" borderId="19" xfId="3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/>
    </xf>
    <xf numFmtId="0" fontId="31" fillId="2" borderId="20" xfId="3" applyFont="1" applyFill="1" applyBorder="1" applyAlignment="1">
      <alignment horizontal="center" vertical="center"/>
    </xf>
    <xf numFmtId="0" fontId="16" fillId="0" borderId="5" xfId="3" applyFont="1" applyBorder="1" applyAlignment="1">
      <alignment horizontal="right" vertical="center"/>
    </xf>
    <xf numFmtId="0" fontId="16" fillId="0" borderId="0" xfId="3" applyFont="1" applyAlignment="1">
      <alignment horizontal="right" vertical="center"/>
    </xf>
    <xf numFmtId="31" fontId="16" fillId="0" borderId="0" xfId="3" applyNumberFormat="1" applyFont="1" applyAlignment="1">
      <alignment horizontal="left" vertical="center"/>
    </xf>
    <xf numFmtId="0" fontId="24" fillId="4" borderId="35" xfId="3" applyFont="1" applyFill="1" applyBorder="1" applyAlignment="1">
      <alignment horizontal="center" vertical="center"/>
    </xf>
    <xf numFmtId="179" fontId="22" fillId="0" borderId="15" xfId="5" applyNumberFormat="1" applyFont="1" applyBorder="1" applyAlignment="1">
      <alignment horizontal="left" vertical="center"/>
    </xf>
    <xf numFmtId="179" fontId="22" fillId="0" borderId="0" xfId="5" applyNumberFormat="1" applyFont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7" fillId="0" borderId="3" xfId="4" applyFont="1" applyBorder="1" applyAlignment="1">
      <alignment horizontal="center" vertical="center"/>
    </xf>
    <xf numFmtId="0" fontId="30" fillId="2" borderId="0" xfId="3" applyFont="1" applyFill="1" applyAlignment="1">
      <alignment horizontal="left" vertical="center" indent="1"/>
    </xf>
    <xf numFmtId="0" fontId="30" fillId="2" borderId="4" xfId="3" applyFont="1" applyFill="1" applyBorder="1" applyAlignment="1">
      <alignment horizontal="left" vertical="center" indent="1"/>
    </xf>
    <xf numFmtId="0" fontId="16" fillId="0" borderId="5" xfId="3" applyFont="1" applyBorder="1" applyAlignment="1">
      <alignment horizontal="left"/>
    </xf>
    <xf numFmtId="0" fontId="16" fillId="0" borderId="0" xfId="3" applyFont="1" applyAlignment="1">
      <alignment horizontal="left"/>
    </xf>
    <xf numFmtId="0" fontId="16" fillId="0" borderId="4" xfId="3" applyFont="1" applyBorder="1" applyAlignment="1">
      <alignment horizontal="left"/>
    </xf>
    <xf numFmtId="49" fontId="16" fillId="0" borderId="24" xfId="3" applyNumberFormat="1" applyFont="1" applyBorder="1" applyAlignment="1">
      <alignment horizontal="right" vertical="center" indent="1"/>
    </xf>
    <xf numFmtId="49" fontId="16" fillId="0" borderId="9" xfId="3" applyNumberFormat="1" applyFont="1" applyBorder="1" applyAlignment="1">
      <alignment horizontal="right" vertical="center" indent="1"/>
    </xf>
    <xf numFmtId="49" fontId="16" fillId="0" borderId="2" xfId="3" applyNumberFormat="1" applyFont="1" applyBorder="1" applyAlignment="1">
      <alignment horizontal="right" vertical="center" indent="1"/>
    </xf>
    <xf numFmtId="0" fontId="16" fillId="0" borderId="24" xfId="9" applyFont="1" applyBorder="1" applyAlignment="1">
      <alignment horizontal="center" vertical="center"/>
    </xf>
    <xf numFmtId="0" fontId="16" fillId="0" borderId="9" xfId="9" applyFont="1" applyBorder="1" applyAlignment="1">
      <alignment horizontal="center" vertical="center"/>
    </xf>
    <xf numFmtId="0" fontId="16" fillId="0" borderId="13" xfId="9" applyFont="1" applyBorder="1" applyAlignment="1">
      <alignment horizontal="center" vertical="center"/>
    </xf>
    <xf numFmtId="0" fontId="16" fillId="0" borderId="5" xfId="3" applyFont="1" applyBorder="1" applyAlignment="1">
      <alignment horizontal="left" vertical="center" wrapText="1"/>
    </xf>
    <xf numFmtId="0" fontId="16" fillId="0" borderId="0" xfId="3" applyFont="1" applyAlignment="1">
      <alignment horizontal="left" vertical="center" wrapText="1"/>
    </xf>
    <xf numFmtId="0" fontId="16" fillId="0" borderId="4" xfId="3" applyFont="1" applyBorder="1" applyAlignment="1">
      <alignment horizontal="left" vertical="center" wrapText="1"/>
    </xf>
    <xf numFmtId="49" fontId="16" fillId="0" borderId="27" xfId="3" applyNumberFormat="1" applyFont="1" applyBorder="1" applyAlignment="1">
      <alignment horizontal="right" vertical="center" indent="1"/>
    </xf>
    <xf numFmtId="49" fontId="16" fillId="0" borderId="8" xfId="3" applyNumberFormat="1" applyFont="1" applyBorder="1" applyAlignment="1">
      <alignment horizontal="right" vertical="center" indent="1"/>
    </xf>
    <xf numFmtId="49" fontId="16" fillId="0" borderId="23" xfId="3" applyNumberFormat="1" applyFont="1" applyBorder="1" applyAlignment="1">
      <alignment horizontal="right" vertical="center" indent="1"/>
    </xf>
    <xf numFmtId="49" fontId="16" fillId="0" borderId="11" xfId="3" applyNumberFormat="1" applyFont="1" applyBorder="1" applyAlignment="1">
      <alignment horizontal="right" vertical="center" indent="1"/>
    </xf>
    <xf numFmtId="0" fontId="16" fillId="0" borderId="7" xfId="3" applyFont="1" applyBorder="1" applyAlignment="1">
      <alignment horizontal="left" vertical="center"/>
    </xf>
    <xf numFmtId="0" fontId="16" fillId="0" borderId="6" xfId="3" applyFont="1" applyBorder="1" applyAlignment="1">
      <alignment horizontal="left" vertical="center"/>
    </xf>
    <xf numFmtId="0" fontId="16" fillId="0" borderId="28" xfId="3" applyFont="1" applyBorder="1" applyAlignment="1">
      <alignment horizontal="left" vertical="center"/>
    </xf>
    <xf numFmtId="0" fontId="38" fillId="0" borderId="5" xfId="3" applyFont="1" applyBorder="1" applyAlignment="1">
      <alignment horizontal="left" vertical="center" wrapText="1"/>
    </xf>
    <xf numFmtId="0" fontId="38" fillId="0" borderId="0" xfId="3" applyFont="1" applyAlignment="1">
      <alignment horizontal="left" vertical="center" wrapText="1"/>
    </xf>
    <xf numFmtId="0" fontId="38" fillId="0" borderId="4" xfId="3" applyFont="1" applyBorder="1" applyAlignment="1">
      <alignment horizontal="left" vertical="center" wrapText="1"/>
    </xf>
    <xf numFmtId="31" fontId="16" fillId="0" borderId="10" xfId="3" applyNumberFormat="1" applyFont="1" applyBorder="1" applyAlignment="1">
      <alignment horizontal="left" vertical="center"/>
    </xf>
    <xf numFmtId="31" fontId="16" fillId="0" borderId="9" xfId="3" applyNumberFormat="1" applyFont="1" applyBorder="1" applyAlignment="1">
      <alignment horizontal="left" vertical="center"/>
    </xf>
    <xf numFmtId="31" fontId="16" fillId="0" borderId="22" xfId="3" applyNumberFormat="1" applyFont="1" applyBorder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6" fillId="0" borderId="4" xfId="3" applyFont="1" applyBorder="1" applyAlignment="1">
      <alignment horizontal="left" vertical="center"/>
    </xf>
    <xf numFmtId="0" fontId="24" fillId="0" borderId="11" xfId="9" applyFont="1" applyBorder="1" applyAlignment="1">
      <alignment horizontal="center" vertical="center"/>
    </xf>
    <xf numFmtId="49" fontId="16" fillId="0" borderId="10" xfId="0" quotePrefix="1" applyNumberFormat="1" applyFont="1" applyBorder="1" applyAlignment="1">
      <alignment horizontal="left" vertical="center" wrapText="1" indent="1"/>
    </xf>
    <xf numFmtId="49" fontId="16" fillId="0" borderId="13" xfId="0" quotePrefix="1" applyNumberFormat="1" applyFont="1" applyBorder="1" applyAlignment="1">
      <alignment horizontal="left" vertical="center" wrapText="1" indent="1"/>
    </xf>
    <xf numFmtId="0" fontId="27" fillId="2" borderId="5" xfId="3" applyFont="1" applyFill="1" applyBorder="1" applyAlignment="1">
      <alignment horizontal="center" vertical="center"/>
    </xf>
    <xf numFmtId="0" fontId="27" fillId="2" borderId="0" xfId="3" applyFont="1" applyFill="1" applyAlignment="1">
      <alignment horizontal="center" vertical="center"/>
    </xf>
    <xf numFmtId="0" fontId="24" fillId="0" borderId="0" xfId="3" applyFont="1" applyAlignment="1">
      <alignment horizontal="left" vertical="center"/>
    </xf>
    <xf numFmtId="0" fontId="24" fillId="0" borderId="10" xfId="9" applyFont="1" applyBorder="1" applyAlignment="1">
      <alignment horizontal="left" vertical="center"/>
    </xf>
    <xf numFmtId="0" fontId="24" fillId="0" borderId="13" xfId="9" applyFont="1" applyBorder="1" applyAlignment="1">
      <alignment horizontal="left" vertical="center"/>
    </xf>
    <xf numFmtId="0" fontId="24" fillId="5" borderId="23" xfId="3" applyFont="1" applyFill="1" applyBorder="1" applyAlignment="1">
      <alignment horizontal="left" vertical="center"/>
    </xf>
    <xf numFmtId="0" fontId="24" fillId="5" borderId="11" xfId="3" applyFont="1" applyFill="1" applyBorder="1" applyAlignment="1">
      <alignment horizontal="left" vertical="center"/>
    </xf>
    <xf numFmtId="0" fontId="22" fillId="0" borderId="15" xfId="3" applyFont="1" applyBorder="1" applyAlignment="1">
      <alignment horizontal="right" vertical="center"/>
    </xf>
    <xf numFmtId="0" fontId="22" fillId="0" borderId="0" xfId="3" applyFont="1" applyAlignment="1">
      <alignment horizontal="right" vertical="center"/>
    </xf>
    <xf numFmtId="0" fontId="16" fillId="0" borderId="14" xfId="3" applyFont="1" applyBorder="1" applyAlignment="1">
      <alignment horizontal="left" vertical="center" wrapText="1"/>
    </xf>
    <xf numFmtId="0" fontId="16" fillId="0" borderId="31" xfId="3" applyFont="1" applyBorder="1" applyAlignment="1">
      <alignment horizontal="left" vertical="center" wrapText="1"/>
    </xf>
    <xf numFmtId="0" fontId="16" fillId="0" borderId="3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left" vertical="center"/>
    </xf>
    <xf numFmtId="0" fontId="16" fillId="0" borderId="9" xfId="3" applyFont="1" applyBorder="1" applyAlignment="1">
      <alignment horizontal="left" vertical="center"/>
    </xf>
    <xf numFmtId="0" fontId="16" fillId="0" borderId="22" xfId="3" applyFont="1" applyBorder="1" applyAlignment="1">
      <alignment horizontal="left" vertical="center"/>
    </xf>
    <xf numFmtId="0" fontId="24" fillId="3" borderId="10" xfId="3" applyFont="1" applyFill="1" applyBorder="1" applyAlignment="1">
      <alignment horizontal="center" vertical="center"/>
    </xf>
    <xf numFmtId="0" fontId="24" fillId="3" borderId="13" xfId="3" applyFont="1" applyFill="1" applyBorder="1" applyAlignment="1">
      <alignment horizontal="center" vertical="center"/>
    </xf>
    <xf numFmtId="0" fontId="24" fillId="3" borderId="7" xfId="3" applyFont="1" applyFill="1" applyBorder="1" applyAlignment="1">
      <alignment horizontal="center" vertical="center"/>
    </xf>
    <xf numFmtId="0" fontId="24" fillId="3" borderId="12" xfId="3" applyFont="1" applyFill="1" applyBorder="1" applyAlignment="1">
      <alignment horizontal="center" vertical="center"/>
    </xf>
    <xf numFmtId="0" fontId="24" fillId="3" borderId="25" xfId="9" applyFont="1" applyFill="1" applyBorder="1" applyAlignment="1">
      <alignment horizontal="center" vertical="center"/>
    </xf>
    <xf numFmtId="0" fontId="24" fillId="3" borderId="6" xfId="9" applyFont="1" applyFill="1" applyBorder="1" applyAlignment="1">
      <alignment horizontal="center" vertical="center"/>
    </xf>
    <xf numFmtId="0" fontId="24" fillId="3" borderId="12" xfId="9" applyFont="1" applyFill="1" applyBorder="1" applyAlignment="1">
      <alignment horizontal="center" vertical="center"/>
    </xf>
    <xf numFmtId="0" fontId="16" fillId="2" borderId="10" xfId="3" applyFont="1" applyFill="1" applyBorder="1" applyAlignment="1">
      <alignment horizontal="center" vertical="center"/>
    </xf>
    <xf numFmtId="0" fontId="16" fillId="2" borderId="13" xfId="3" applyFont="1" applyFill="1" applyBorder="1" applyAlignment="1">
      <alignment horizontal="center" vertical="center"/>
    </xf>
    <xf numFmtId="0" fontId="24" fillId="3" borderId="5" xfId="9" applyFont="1" applyFill="1" applyBorder="1" applyAlignment="1">
      <alignment horizontal="center" vertical="center"/>
    </xf>
    <xf numFmtId="0" fontId="24" fillId="3" borderId="0" xfId="9" applyFont="1" applyFill="1" applyAlignment="1">
      <alignment horizontal="center" vertical="center"/>
    </xf>
    <xf numFmtId="0" fontId="24" fillId="3" borderId="39" xfId="9" applyFont="1" applyFill="1" applyBorder="1" applyAlignment="1">
      <alignment horizontal="center" vertical="center"/>
    </xf>
    <xf numFmtId="0" fontId="35" fillId="0" borderId="0" xfId="2" applyFont="1" applyAlignment="1">
      <alignment horizontal="center"/>
    </xf>
    <xf numFmtId="0" fontId="34" fillId="0" borderId="11" xfId="2" applyFont="1" applyBorder="1"/>
    <xf numFmtId="0" fontId="16" fillId="0" borderId="11" xfId="2" applyFont="1" applyBorder="1"/>
    <xf numFmtId="0" fontId="44" fillId="0" borderId="41" xfId="0" applyFont="1" applyBorder="1" applyAlignment="1">
      <alignment horizontal="left" vertical="center" wrapText="1"/>
    </xf>
    <xf numFmtId="0" fontId="50" fillId="0" borderId="11" xfId="2" quotePrefix="1" applyFont="1" applyBorder="1" applyAlignment="1">
      <alignment vertical="center" wrapText="1"/>
    </xf>
    <xf numFmtId="0" fontId="49" fillId="0" borderId="44" xfId="0" quotePrefix="1" applyFont="1" applyBorder="1" applyAlignment="1">
      <alignment vertical="center" wrapText="1"/>
    </xf>
    <xf numFmtId="0" fontId="16" fillId="0" borderId="10" xfId="40" applyFont="1" applyBorder="1" applyAlignment="1">
      <alignment horizontal="left" vertical="center" wrapText="1"/>
    </xf>
    <xf numFmtId="0" fontId="16" fillId="0" borderId="13" xfId="40" applyFont="1" applyBorder="1" applyAlignment="1">
      <alignment horizontal="left" vertical="center" wrapText="1"/>
    </xf>
    <xf numFmtId="0" fontId="16" fillId="0" borderId="10" xfId="40" quotePrefix="1" applyFont="1" applyBorder="1" applyAlignment="1">
      <alignment horizontal="left" vertical="center" wrapText="1"/>
    </xf>
    <xf numFmtId="0" fontId="16" fillId="0" borderId="13" xfId="40" quotePrefix="1" applyFont="1" applyBorder="1" applyAlignment="1">
      <alignment horizontal="left" vertical="center" wrapText="1"/>
    </xf>
    <xf numFmtId="0" fontId="16" fillId="2" borderId="10" xfId="3" quotePrefix="1" applyFont="1" applyFill="1" applyBorder="1" applyAlignment="1">
      <alignment horizontal="left" vertical="center" wrapText="1"/>
    </xf>
    <xf numFmtId="0" fontId="16" fillId="2" borderId="13" xfId="3" quotePrefix="1" applyFont="1" applyFill="1" applyBorder="1" applyAlignment="1">
      <alignment horizontal="left" vertical="center" wrapText="1"/>
    </xf>
  </cellXfs>
  <cellStyles count="41">
    <cellStyle name="백분율 2" xfId="6" xr:uid="{00000000-0005-0000-0000-000000000000}"/>
    <cellStyle name="백분율 3" xfId="25" xr:uid="{70520BA4-378A-4695-9442-089C2F6893BD}"/>
    <cellStyle name="쉼표 [0] 2" xfId="5" xr:uid="{00000000-0005-0000-0000-000001000000}"/>
    <cellStyle name="쉼표 [0] 2 2" xfId="29" xr:uid="{6EB3E776-8B7B-4FD1-AE77-0D3EB776A205}"/>
    <cellStyle name="쉼표 [0] 3" xfId="21" xr:uid="{00000000-0005-0000-0000-000002000000}"/>
    <cellStyle name="쉼표 [0] 4" xfId="22" xr:uid="{581921A3-5B18-440B-B2EA-76171895108F}"/>
    <cellStyle name="쉼표 [0] 4 2" xfId="30" xr:uid="{6B281552-6B58-4F32-A57F-B689099ED336}"/>
    <cellStyle name="쉼표 [0] 5" xfId="26" xr:uid="{0AF5D8FD-ADFD-4D31-883E-90C6F313BE0B}"/>
    <cellStyle name="쉼표 [0] 6" xfId="27" xr:uid="{F78AB8A4-10DA-476C-9F13-AF0C2074EA73}"/>
    <cellStyle name="쉼표 [0] 7" xfId="34" xr:uid="{34033DF7-B187-4A85-A460-1A95261EFF4B}"/>
    <cellStyle name="쉼표 [0] 8" xfId="36" xr:uid="{4308C92E-3BE8-4262-9034-2B8F6B0017A9}"/>
    <cellStyle name="쉼표 [0]_종근당 업무용 제품 견적서 06년 12월 19일(구매팀)-3셋트" xfId="8" xr:uid="{00000000-0005-0000-0000-000003000000}"/>
    <cellStyle name="스타일 1" xfId="12" xr:uid="{00000000-0005-0000-0000-000004000000}"/>
    <cellStyle name="콤마 [0]_V0Q7NBF4" xfId="11" xr:uid="{00000000-0005-0000-0000-000005000000}"/>
    <cellStyle name="콤마 [0]_V0Q7NBF4_종근당 업무용 제품 견적서 06년 12월 19일(구매팀)-3셋트" xfId="10" xr:uid="{00000000-0005-0000-0000-000006000000}"/>
    <cellStyle name="통화 [0] 2" xfId="28" xr:uid="{6E181BC8-3CD4-460A-9A9A-973AB5DA7E51}"/>
    <cellStyle name="표준" xfId="0" builtinId="0"/>
    <cellStyle name="표준 10" xfId="24" xr:uid="{8522D57E-0D3B-4138-B9C2-3482FEB556F5}"/>
    <cellStyle name="표준 10 2" xfId="37" xr:uid="{441AD068-AED5-47F1-93FD-0B80C66974B9}"/>
    <cellStyle name="표준 10 2 2" xfId="38" xr:uid="{7C7AB980-F7D5-4E44-B10B-083E128CA8A9}"/>
    <cellStyle name="표준 11" xfId="31" xr:uid="{B171CC7F-A1E3-4C96-BB1A-637B62D0D724}"/>
    <cellStyle name="표준 12" xfId="33" xr:uid="{F670B88B-0D0D-407F-B020-A839D287AB1C}"/>
    <cellStyle name="표준 13" xfId="35" xr:uid="{7B1AF9B3-1952-4691-9322-AF631E446654}"/>
    <cellStyle name="표준 2" xfId="1" xr:uid="{00000000-0005-0000-0000-000008000000}"/>
    <cellStyle name="표준 2 2" xfId="15" xr:uid="{00000000-0005-0000-0000-000009000000}"/>
    <cellStyle name="표준 2 3" xfId="16" xr:uid="{00000000-0005-0000-0000-00000A000000}"/>
    <cellStyle name="표준 3" xfId="2" xr:uid="{00000000-0005-0000-0000-00000B000000}"/>
    <cellStyle name="표준 4" xfId="7" xr:uid="{00000000-0005-0000-0000-00000C000000}"/>
    <cellStyle name="표준 5" xfId="13" xr:uid="{00000000-0005-0000-0000-00000D000000}"/>
    <cellStyle name="표준 6" xfId="17" xr:uid="{00000000-0005-0000-0000-00000E000000}"/>
    <cellStyle name="표준 7" xfId="18" xr:uid="{00000000-0005-0000-0000-00000F000000}"/>
    <cellStyle name="표준 8" xfId="19" xr:uid="{00000000-0005-0000-0000-000010000000}"/>
    <cellStyle name="표준 9" xfId="20" xr:uid="{00000000-0005-0000-0000-000011000000}"/>
    <cellStyle name="표준 9 2" xfId="23" xr:uid="{17C8A8C9-1F17-482D-8DA2-71012A109738}"/>
    <cellStyle name="표준 9 2 2" xfId="39" xr:uid="{98E48055-2C4D-4131-8B67-CE2BC270EA1C}"/>
    <cellStyle name="표준_V0Q7NBF4" xfId="3" xr:uid="{00000000-0005-0000-0000-000012000000}"/>
    <cellStyle name="표준_견적서틀" xfId="9" xr:uid="{00000000-0005-0000-0000-000013000000}"/>
    <cellStyle name="표준_이미지가격" xfId="40" xr:uid="{4AD43C85-4874-4711-84FD-36C01E5B36CB}"/>
    <cellStyle name="표준_한국하이네트 11월16일(본체2대)" xfId="4" xr:uid="{00000000-0005-0000-0000-000015000000}"/>
    <cellStyle name="하이퍼링크" xfId="14" builtinId="8"/>
    <cellStyle name="하이퍼링크 2" xfId="32" xr:uid="{5A8EBFB6-93B8-4AC6-AA3F-0154FF70B765}"/>
  </cellStyles>
  <dxfs count="0"/>
  <tableStyles count="0" defaultTableStyle="TableStyleMedium2" defaultPivotStyle="PivotStyleLight16"/>
  <colors>
    <mruColors>
      <color rgb="FFCF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371475</xdr:colOff>
      <xdr:row>2</xdr:row>
      <xdr:rowOff>95249</xdr:rowOff>
    </xdr:from>
    <xdr:ext cx="725785" cy="749114"/>
    <xdr:pic>
      <xdr:nvPicPr>
        <xdr:cNvPr id="2" name="그림 2" descr="사용인감.gif">
          <a:extLst>
            <a:ext uri="{FF2B5EF4-FFF2-40B4-BE49-F238E27FC236}">
              <a16:creationId xmlns:a16="http://schemas.microsoft.com/office/drawing/2014/main" id="{00000000-0008-0000-0000-00006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438149"/>
          <a:ext cx="725785" cy="749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719978</xdr:colOff>
      <xdr:row>1</xdr:row>
      <xdr:rowOff>114300</xdr:rowOff>
    </xdr:from>
    <xdr:ext cx="1064938" cy="330732"/>
    <xdr:pic>
      <xdr:nvPicPr>
        <xdr:cNvPr id="3" name="그림 2">
          <a:extLst>
            <a:ext uri="{FF2B5EF4-FFF2-40B4-BE49-F238E27FC236}">
              <a16:creationId xmlns:a16="http://schemas.microsoft.com/office/drawing/2014/main" id="{81F49FEC-4FA4-4982-BECE-6ACD77031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2478" y="285750"/>
          <a:ext cx="1064938" cy="330732"/>
        </a:xfrm>
        <a:prstGeom prst="rect">
          <a:avLst/>
        </a:prstGeom>
      </xdr:spPr>
    </xdr:pic>
    <xdr:clientData/>
  </xdr:oneCellAnchor>
  <xdr:oneCellAnchor>
    <xdr:from>
      <xdr:col>6</xdr:col>
      <xdr:colOff>822511</xdr:colOff>
      <xdr:row>40</xdr:row>
      <xdr:rowOff>181536</xdr:rowOff>
    </xdr:from>
    <xdr:ext cx="2466976" cy="925194"/>
    <xdr:pic>
      <xdr:nvPicPr>
        <xdr:cNvPr id="4" name="그림 3" descr="esbop_logo_소개문구">
          <a:extLst>
            <a:ext uri="{FF2B5EF4-FFF2-40B4-BE49-F238E27FC236}">
              <a16:creationId xmlns:a16="http://schemas.microsoft.com/office/drawing/2014/main" id="{92B2DF36-9842-4E8A-8514-3649F1D34967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211" y="8477811"/>
          <a:ext cx="2466976" cy="92519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lim@seiolab.com" TargetMode="External"/><Relationship Id="rId2" Type="http://schemas.openxmlformats.org/officeDocument/2006/relationships/hyperlink" Target="mailto:ckdbob@bellins.net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5"/>
  <sheetViews>
    <sheetView showGridLines="0" tabSelected="1" view="pageBreakPreview" zoomScale="80" zoomScaleNormal="100" zoomScaleSheetLayoutView="80" zoomScalePageLayoutView="70" workbookViewId="0">
      <selection activeCell="K19" sqref="K19"/>
    </sheetView>
  </sheetViews>
  <sheetFormatPr defaultColWidth="10.28515625" defaultRowHeight="17.25"/>
  <cols>
    <col min="1" max="1" width="5" style="2" customWidth="1"/>
    <col min="2" max="2" width="7.85546875" style="3" customWidth="1"/>
    <col min="3" max="3" width="14" style="2" customWidth="1"/>
    <col min="4" max="4" width="37.7109375" style="1" customWidth="1"/>
    <col min="5" max="5" width="25.140625" style="1" customWidth="1"/>
    <col min="6" max="6" width="11.42578125" style="1" customWidth="1"/>
    <col min="7" max="7" width="19" style="1" bestFit="1" customWidth="1"/>
    <col min="8" max="8" width="16" style="1" customWidth="1"/>
    <col min="9" max="9" width="20.7109375" style="1" customWidth="1"/>
    <col min="10" max="10" width="14.85546875" style="1" customWidth="1"/>
    <col min="11" max="16384" width="10.28515625" style="1"/>
  </cols>
  <sheetData>
    <row r="1" spans="1:11" s="34" customFormat="1" ht="45" customHeight="1">
      <c r="A1" s="200" t="s">
        <v>35</v>
      </c>
      <c r="B1" s="201"/>
      <c r="C1" s="201"/>
      <c r="D1" s="201"/>
      <c r="E1" s="201"/>
      <c r="F1" s="201"/>
      <c r="G1" s="201"/>
      <c r="H1" s="201"/>
      <c r="I1" s="202"/>
    </row>
    <row r="2" spans="1:11" s="34" customFormat="1" ht="11.25" customHeight="1">
      <c r="A2" s="41"/>
      <c r="B2" s="36"/>
      <c r="C2" s="36"/>
      <c r="D2" s="36"/>
      <c r="E2" s="36"/>
      <c r="F2" s="36"/>
      <c r="G2" s="36"/>
      <c r="H2" s="36"/>
      <c r="I2" s="42"/>
    </row>
    <row r="3" spans="1:11" s="34" customFormat="1" ht="22.5" customHeight="1">
      <c r="A3" s="245" t="s">
        <v>74</v>
      </c>
      <c r="B3" s="246"/>
      <c r="C3" s="100" t="s">
        <v>132</v>
      </c>
      <c r="D3" s="100"/>
      <c r="E3" s="35"/>
      <c r="F3" s="35"/>
      <c r="G3" s="213" t="s">
        <v>34</v>
      </c>
      <c r="H3" s="213"/>
      <c r="I3" s="214"/>
    </row>
    <row r="4" spans="1:11" s="20" customFormat="1">
      <c r="A4" s="203" t="s">
        <v>33</v>
      </c>
      <c r="B4" s="204"/>
      <c r="C4" s="205">
        <v>46094</v>
      </c>
      <c r="D4" s="205"/>
      <c r="E4" s="30"/>
      <c r="F4" s="32"/>
      <c r="G4" s="38" t="s">
        <v>32</v>
      </c>
      <c r="H4" s="33" t="s">
        <v>31</v>
      </c>
      <c r="I4" s="43"/>
    </row>
    <row r="5" spans="1:11" s="20" customFormat="1">
      <c r="A5" s="203" t="s">
        <v>21</v>
      </c>
      <c r="B5" s="204"/>
      <c r="C5" s="40" t="s">
        <v>133</v>
      </c>
      <c r="D5" s="30"/>
      <c r="E5" s="30"/>
      <c r="F5" s="27"/>
      <c r="G5" s="39" t="s">
        <v>30</v>
      </c>
      <c r="H5" s="28" t="s">
        <v>29</v>
      </c>
      <c r="I5" s="44"/>
    </row>
    <row r="6" spans="1:11" s="20" customFormat="1">
      <c r="A6" s="203" t="s">
        <v>28</v>
      </c>
      <c r="B6" s="204"/>
      <c r="C6" s="101" t="s">
        <v>134</v>
      </c>
      <c r="D6" s="30"/>
      <c r="E6" s="30"/>
      <c r="F6" s="32"/>
      <c r="G6" s="39" t="s">
        <v>27</v>
      </c>
      <c r="H6" s="31" t="s">
        <v>26</v>
      </c>
      <c r="I6" s="44"/>
    </row>
    <row r="7" spans="1:11" s="20" customFormat="1">
      <c r="A7" s="203" t="s">
        <v>24</v>
      </c>
      <c r="B7" s="204"/>
      <c r="C7" s="101"/>
      <c r="D7" s="30"/>
      <c r="E7" s="30"/>
      <c r="F7" s="27"/>
      <c r="G7" s="39" t="s">
        <v>25</v>
      </c>
      <c r="H7" s="28" t="s">
        <v>36</v>
      </c>
      <c r="I7" s="44"/>
    </row>
    <row r="8" spans="1:11" s="20" customFormat="1">
      <c r="A8" s="203" t="s">
        <v>17</v>
      </c>
      <c r="B8" s="204"/>
      <c r="C8" s="102" t="s">
        <v>135</v>
      </c>
      <c r="D8" s="30"/>
      <c r="E8" s="30"/>
      <c r="F8" s="32"/>
      <c r="G8" s="39" t="s">
        <v>24</v>
      </c>
      <c r="H8" s="31" t="s">
        <v>23</v>
      </c>
      <c r="I8" s="44"/>
    </row>
    <row r="9" spans="1:11" s="20" customFormat="1">
      <c r="A9" s="203" t="s">
        <v>22</v>
      </c>
      <c r="B9" s="204"/>
      <c r="C9" s="205" t="s">
        <v>82</v>
      </c>
      <c r="D9" s="205"/>
      <c r="E9" s="30"/>
      <c r="F9" s="27"/>
      <c r="G9" s="39" t="s">
        <v>21</v>
      </c>
      <c r="H9" s="28" t="s">
        <v>39</v>
      </c>
      <c r="I9" s="44"/>
    </row>
    <row r="10" spans="1:11" s="20" customFormat="1">
      <c r="A10" s="57"/>
      <c r="B10" s="7"/>
      <c r="C10" s="40"/>
      <c r="D10" s="29"/>
      <c r="E10" s="29"/>
      <c r="F10" s="27"/>
      <c r="G10" s="39" t="s">
        <v>20</v>
      </c>
      <c r="H10" s="28" t="s">
        <v>40</v>
      </c>
      <c r="I10" s="44"/>
    </row>
    <row r="11" spans="1:11" s="20" customFormat="1">
      <c r="A11" s="209" t="s">
        <v>19</v>
      </c>
      <c r="B11" s="210"/>
      <c r="C11" s="252" t="str">
        <f>"일금" &amp; NUMBERSTRING(H26,1)&amp;"원정"</f>
        <v>일금삼억일천육백만원정</v>
      </c>
      <c r="D11" s="253"/>
      <c r="E11" s="247" t="s">
        <v>18</v>
      </c>
      <c r="F11" s="27"/>
      <c r="G11" s="26" t="s">
        <v>17</v>
      </c>
      <c r="H11" s="37" t="s">
        <v>41</v>
      </c>
      <c r="I11" s="45"/>
    </row>
    <row r="12" spans="1:11" s="20" customFormat="1" ht="15" customHeight="1">
      <c r="A12" s="211"/>
      <c r="B12" s="210"/>
      <c r="C12" s="207">
        <f>H26</f>
        <v>316000000</v>
      </c>
      <c r="D12" s="208"/>
      <c r="E12" s="247"/>
      <c r="F12" s="25"/>
      <c r="G12" s="24"/>
      <c r="H12" s="21"/>
      <c r="I12" s="46"/>
    </row>
    <row r="13" spans="1:11" s="20" customFormat="1" ht="14.25" customHeight="1" thickBot="1">
      <c r="A13" s="58"/>
      <c r="B13" s="212"/>
      <c r="C13" s="212"/>
      <c r="D13" s="212"/>
      <c r="E13" s="23"/>
      <c r="F13" s="22"/>
      <c r="G13" s="21"/>
      <c r="H13" s="21"/>
      <c r="I13" s="47" t="s">
        <v>16</v>
      </c>
    </row>
    <row r="14" spans="1:11" s="18" customFormat="1" ht="19.5" customHeight="1">
      <c r="A14" s="70" t="s">
        <v>15</v>
      </c>
      <c r="B14" s="206" t="s">
        <v>14</v>
      </c>
      <c r="C14" s="206"/>
      <c r="D14" s="206" t="s">
        <v>37</v>
      </c>
      <c r="E14" s="206"/>
      <c r="F14" s="76" t="s">
        <v>38</v>
      </c>
      <c r="G14" s="76" t="s">
        <v>13</v>
      </c>
      <c r="H14" s="76" t="s">
        <v>12</v>
      </c>
      <c r="I14" s="71" t="s">
        <v>11</v>
      </c>
      <c r="J14" s="19"/>
      <c r="K14" s="19"/>
    </row>
    <row r="15" spans="1:11" s="11" customFormat="1" ht="30" customHeight="1">
      <c r="A15" s="250" t="s">
        <v>136</v>
      </c>
      <c r="B15" s="251"/>
      <c r="C15" s="251"/>
      <c r="D15" s="251"/>
      <c r="E15" s="251"/>
      <c r="F15" s="251"/>
      <c r="G15" s="251"/>
      <c r="H15" s="72">
        <f>SUM(H16:H22)</f>
        <v>316519431.42468292</v>
      </c>
      <c r="I15" s="74"/>
      <c r="J15" s="10"/>
      <c r="K15" s="9"/>
    </row>
    <row r="16" spans="1:11" s="11" customFormat="1" ht="30" customHeight="1">
      <c r="A16" s="59">
        <v>1</v>
      </c>
      <c r="B16" s="248" t="s">
        <v>119</v>
      </c>
      <c r="C16" s="249"/>
      <c r="D16" s="243" t="s">
        <v>99</v>
      </c>
      <c r="E16" s="244"/>
      <c r="F16" s="92">
        <f>별첨1_인건비산정!H5</f>
        <v>3.024390243902439</v>
      </c>
      <c r="G16" s="16">
        <f>별첨1_인건비산정!I5</f>
        <v>76876207.656585366</v>
      </c>
      <c r="H16" s="16">
        <f>별첨1_인건비산정!J5</f>
        <v>65344776.508097552</v>
      </c>
      <c r="I16" s="74"/>
      <c r="J16" s="10"/>
      <c r="K16" s="9"/>
    </row>
    <row r="17" spans="1:12" s="11" customFormat="1" ht="30" customHeight="1">
      <c r="A17" s="59">
        <v>2</v>
      </c>
      <c r="B17" s="248" t="s">
        <v>120</v>
      </c>
      <c r="C17" s="249"/>
      <c r="D17" s="243" t="s">
        <v>164</v>
      </c>
      <c r="E17" s="244"/>
      <c r="F17" s="92">
        <f>별첨1_인건비산정!H6</f>
        <v>0.97560975609756095</v>
      </c>
      <c r="G17" s="16">
        <f>별첨1_인건비산정!I6</f>
        <v>29141570.107317071</v>
      </c>
      <c r="H17" s="16">
        <f>별첨1_인건비산정!J6</f>
        <v>24770334.591219511</v>
      </c>
      <c r="I17" s="74"/>
      <c r="J17" s="10"/>
      <c r="K17" s="9"/>
    </row>
    <row r="18" spans="1:12" s="11" customFormat="1" ht="30" customHeight="1">
      <c r="A18" s="59">
        <v>3</v>
      </c>
      <c r="B18" s="248" t="s">
        <v>121</v>
      </c>
      <c r="C18" s="249"/>
      <c r="D18" s="243" t="s">
        <v>165</v>
      </c>
      <c r="E18" s="244"/>
      <c r="F18" s="92">
        <f>별첨1_인건비산정!H7</f>
        <v>0.14634146341463414</v>
      </c>
      <c r="G18" s="16">
        <f>별첨1_인건비산정!I7</f>
        <v>1902629.2565853661</v>
      </c>
      <c r="H18" s="16">
        <f>별첨1_인건비산정!J7</f>
        <v>1617234.8680975612</v>
      </c>
      <c r="I18" s="74"/>
      <c r="J18" s="10"/>
      <c r="K18" s="9"/>
    </row>
    <row r="19" spans="1:12" s="11" customFormat="1" ht="30" customHeight="1">
      <c r="A19" s="59">
        <v>4</v>
      </c>
      <c r="B19" s="248" t="s">
        <v>122</v>
      </c>
      <c r="C19" s="249"/>
      <c r="D19" s="243" t="s">
        <v>166</v>
      </c>
      <c r="E19" s="244"/>
      <c r="F19" s="92">
        <f>별첨1_인건비산정!H8</f>
        <v>0.34146341463414637</v>
      </c>
      <c r="G19" s="16">
        <f>별첨1_인건비산정!I8</f>
        <v>5938794.2634146344</v>
      </c>
      <c r="H19" s="16">
        <f>별첨1_인건비산정!J8</f>
        <v>5047975.1239024391</v>
      </c>
      <c r="I19" s="48"/>
      <c r="J19" s="80"/>
      <c r="K19" s="9"/>
      <c r="L19" s="93"/>
    </row>
    <row r="20" spans="1:12" s="11" customFormat="1" ht="30" customHeight="1">
      <c r="A20" s="59">
        <v>5</v>
      </c>
      <c r="B20" s="248" t="s">
        <v>130</v>
      </c>
      <c r="C20" s="249"/>
      <c r="D20" s="243" t="s">
        <v>167</v>
      </c>
      <c r="E20" s="244"/>
      <c r="F20" s="92">
        <f>별첨1_인건비산정!H9</f>
        <v>0.97560975609756095</v>
      </c>
      <c r="G20" s="16">
        <f>별첨1_인건비산정!I9</f>
        <v>27297697.170731708</v>
      </c>
      <c r="H20" s="16">
        <f>별첨1_인건비산정!J9</f>
        <v>23203042.59512195</v>
      </c>
      <c r="I20" s="48"/>
      <c r="J20" s="80"/>
      <c r="K20" s="9"/>
      <c r="L20" s="93"/>
    </row>
    <row r="21" spans="1:12" s="11" customFormat="1" ht="30" customHeight="1">
      <c r="A21" s="59">
        <v>6</v>
      </c>
      <c r="B21" s="248" t="s">
        <v>123</v>
      </c>
      <c r="C21" s="249"/>
      <c r="D21" s="243" t="s">
        <v>168</v>
      </c>
      <c r="E21" s="244"/>
      <c r="F21" s="92">
        <f>별첨1_인건비산정!H10</f>
        <v>9.7560975609756095</v>
      </c>
      <c r="G21" s="16">
        <f>별첨1_인건비산정!I10</f>
        <v>190637975.41463414</v>
      </c>
      <c r="H21" s="16">
        <f>별첨1_인건비산정!J10</f>
        <v>162042279.10243902</v>
      </c>
      <c r="I21" s="48"/>
      <c r="J21" s="80"/>
      <c r="K21" s="9"/>
      <c r="L21" s="93"/>
    </row>
    <row r="22" spans="1:12" s="11" customFormat="1" ht="30" customHeight="1">
      <c r="A22" s="59">
        <v>7</v>
      </c>
      <c r="B22" s="248" t="s">
        <v>124</v>
      </c>
      <c r="C22" s="249"/>
      <c r="D22" s="243" t="s">
        <v>169</v>
      </c>
      <c r="E22" s="244"/>
      <c r="F22" s="92">
        <f>별첨1_인건비산정!H11</f>
        <v>1.5121951219512195</v>
      </c>
      <c r="G22" s="16">
        <f>별첨1_인건비산정!I11</f>
        <v>40580927.806829274</v>
      </c>
      <c r="H22" s="16">
        <f>별첨1_인건비산정!J11</f>
        <v>34493788.635804884</v>
      </c>
      <c r="I22" s="74"/>
      <c r="J22" s="10"/>
      <c r="K22" s="9"/>
    </row>
    <row r="23" spans="1:12" s="11" customFormat="1" ht="30" customHeight="1">
      <c r="A23" s="59"/>
      <c r="B23" s="242"/>
      <c r="C23" s="242"/>
      <c r="D23" s="280" t="s">
        <v>125</v>
      </c>
      <c r="E23" s="281"/>
      <c r="F23" s="92"/>
      <c r="G23" s="16"/>
      <c r="H23" s="16"/>
      <c r="I23" s="74"/>
      <c r="J23" s="10"/>
      <c r="K23" s="9"/>
    </row>
    <row r="24" spans="1:12" s="11" customFormat="1" ht="30" customHeight="1">
      <c r="A24" s="59"/>
      <c r="B24" s="242"/>
      <c r="C24" s="242"/>
      <c r="D24" s="278" t="s">
        <v>163</v>
      </c>
      <c r="E24" s="279"/>
      <c r="F24" s="73"/>
      <c r="G24" s="16"/>
      <c r="H24" s="16"/>
      <c r="I24" s="48"/>
      <c r="J24" s="80"/>
      <c r="K24" s="9"/>
      <c r="L24" s="93"/>
    </row>
    <row r="25" spans="1:12" s="11" customFormat="1" ht="30" customHeight="1">
      <c r="A25" s="59"/>
      <c r="B25" s="242"/>
      <c r="C25" s="242"/>
      <c r="D25" s="282"/>
      <c r="E25" s="283"/>
      <c r="F25" s="73"/>
      <c r="G25" s="16"/>
      <c r="H25" s="16"/>
      <c r="I25" s="48"/>
      <c r="J25" s="80"/>
      <c r="K25" s="9"/>
      <c r="L25" s="93"/>
    </row>
    <row r="26" spans="1:12" s="11" customFormat="1" ht="30" customHeight="1">
      <c r="A26" s="269" t="s">
        <v>10</v>
      </c>
      <c r="B26" s="270"/>
      <c r="C26" s="271"/>
      <c r="D26" s="260" t="s">
        <v>9</v>
      </c>
      <c r="E26" s="261"/>
      <c r="F26" s="77"/>
      <c r="G26" s="78">
        <f>SUM(G16:G22)</f>
        <v>372375801.67609757</v>
      </c>
      <c r="H26" s="83">
        <f>ROUNDDOWN(SUM(H15),-6)</f>
        <v>316000000</v>
      </c>
      <c r="I26" s="79"/>
      <c r="J26" s="12"/>
      <c r="K26" s="12"/>
    </row>
    <row r="27" spans="1:12" s="11" customFormat="1" ht="30" customHeight="1">
      <c r="A27" s="221" t="s">
        <v>8</v>
      </c>
      <c r="B27" s="222"/>
      <c r="C27" s="223"/>
      <c r="D27" s="267" t="s">
        <v>7</v>
      </c>
      <c r="E27" s="268"/>
      <c r="F27" s="17"/>
      <c r="G27" s="16"/>
      <c r="H27" s="16">
        <f>H26*0.1</f>
        <v>31600000</v>
      </c>
      <c r="I27" s="48"/>
      <c r="J27" s="12"/>
      <c r="K27" s="12"/>
    </row>
    <row r="28" spans="1:12" s="11" customFormat="1" ht="30" customHeight="1" thickBot="1">
      <c r="A28" s="264" t="s">
        <v>6</v>
      </c>
      <c r="B28" s="265"/>
      <c r="C28" s="266"/>
      <c r="D28" s="262" t="s">
        <v>73</v>
      </c>
      <c r="E28" s="263"/>
      <c r="F28" s="15"/>
      <c r="G28" s="14"/>
      <c r="H28" s="13">
        <f>SUM(H26:H27)</f>
        <v>347600000</v>
      </c>
      <c r="I28" s="49" t="s">
        <v>5</v>
      </c>
      <c r="J28" s="12"/>
      <c r="K28" s="12"/>
    </row>
    <row r="29" spans="1:12" s="8" customFormat="1" ht="30" customHeight="1">
      <c r="A29" s="218" t="s">
        <v>4</v>
      </c>
      <c r="B29" s="219"/>
      <c r="C29" s="220"/>
      <c r="D29" s="254" t="s">
        <v>88</v>
      </c>
      <c r="E29" s="255"/>
      <c r="F29" s="255"/>
      <c r="G29" s="255"/>
      <c r="H29" s="255"/>
      <c r="I29" s="256"/>
      <c r="J29" s="10"/>
      <c r="K29" s="9"/>
    </row>
    <row r="30" spans="1:12" s="8" customFormat="1" ht="30" customHeight="1">
      <c r="A30" s="229" t="s">
        <v>3</v>
      </c>
      <c r="B30" s="230"/>
      <c r="C30" s="230"/>
      <c r="D30" s="257" t="s">
        <v>1</v>
      </c>
      <c r="E30" s="258"/>
      <c r="F30" s="258"/>
      <c r="G30" s="258"/>
      <c r="H30" s="258"/>
      <c r="I30" s="259"/>
      <c r="J30" s="10"/>
      <c r="K30" s="9"/>
    </row>
    <row r="31" spans="1:12" s="6" customFormat="1" ht="30" customHeight="1">
      <c r="A31" s="229" t="s">
        <v>2</v>
      </c>
      <c r="B31" s="230"/>
      <c r="C31" s="230"/>
      <c r="D31" s="237" t="s">
        <v>1</v>
      </c>
      <c r="E31" s="238"/>
      <c r="F31" s="238"/>
      <c r="G31" s="238"/>
      <c r="H31" s="238"/>
      <c r="I31" s="239"/>
    </row>
    <row r="32" spans="1:12" s="6" customFormat="1" ht="30" customHeight="1" thickBot="1">
      <c r="A32" s="227" t="s">
        <v>0</v>
      </c>
      <c r="B32" s="228"/>
      <c r="C32" s="228"/>
      <c r="D32" s="231"/>
      <c r="E32" s="232"/>
      <c r="F32" s="232"/>
      <c r="G32" s="232"/>
      <c r="H32" s="232"/>
      <c r="I32" s="233"/>
      <c r="J32" s="7"/>
      <c r="K32" s="7"/>
    </row>
    <row r="33" spans="1:11" s="6" customFormat="1" ht="15" customHeight="1">
      <c r="A33" s="60"/>
      <c r="B33" s="81"/>
      <c r="C33" s="81"/>
      <c r="D33" s="82"/>
      <c r="E33" s="82"/>
      <c r="F33" s="82"/>
      <c r="G33" s="82"/>
      <c r="H33" s="82"/>
      <c r="I33" s="75"/>
      <c r="J33" s="7"/>
      <c r="K33" s="7"/>
    </row>
    <row r="34" spans="1:11" ht="17.25" customHeight="1">
      <c r="A34" s="234" t="str">
        <f>"※ 본 견적서는 "&amp;CHAR(34)&amp;C3&amp;CHAR(34)&amp;" 만을 위한 견적으로 할인 요소등을 최대한 반영하였습니다."</f>
        <v>※ 본 견적서는 "(주)시오랩" 만을 위한 견적으로 할인 요소등을 최대한 반영하였습니다.</v>
      </c>
      <c r="B34" s="235"/>
      <c r="C34" s="235"/>
      <c r="D34" s="235"/>
      <c r="E34" s="235"/>
      <c r="F34" s="235"/>
      <c r="G34" s="235"/>
      <c r="H34" s="235"/>
      <c r="I34" s="236"/>
      <c r="J34" s="5"/>
      <c r="K34" s="5"/>
    </row>
    <row r="35" spans="1:11" ht="17.25" customHeight="1">
      <c r="A35" s="224" t="s">
        <v>65</v>
      </c>
      <c r="B35" s="225"/>
      <c r="C35" s="225"/>
      <c r="D35" s="225"/>
      <c r="E35" s="225"/>
      <c r="F35" s="225"/>
      <c r="G35" s="225"/>
      <c r="H35" s="225"/>
      <c r="I35" s="226"/>
      <c r="J35" s="5"/>
      <c r="K35" s="5"/>
    </row>
    <row r="36" spans="1:11" ht="17.25" customHeight="1">
      <c r="A36" s="224" t="s">
        <v>86</v>
      </c>
      <c r="B36" s="225"/>
      <c r="C36" s="225"/>
      <c r="D36" s="225"/>
      <c r="E36" s="225"/>
      <c r="F36" s="225"/>
      <c r="G36" s="225"/>
      <c r="H36" s="225"/>
      <c r="I36" s="226"/>
      <c r="J36" s="5"/>
      <c r="K36" s="5"/>
    </row>
    <row r="37" spans="1:11" ht="17.25" customHeight="1">
      <c r="A37" s="224" t="s">
        <v>87</v>
      </c>
      <c r="B37" s="225"/>
      <c r="C37" s="225"/>
      <c r="D37" s="225"/>
      <c r="E37" s="225"/>
      <c r="F37" s="225"/>
      <c r="G37" s="225"/>
      <c r="H37" s="225"/>
      <c r="I37" s="226"/>
      <c r="J37" s="5"/>
      <c r="K37" s="5"/>
    </row>
    <row r="38" spans="1:11" ht="17.25" customHeight="1">
      <c r="A38" s="224" t="s">
        <v>85</v>
      </c>
      <c r="B38" s="240"/>
      <c r="C38" s="240"/>
      <c r="D38" s="240"/>
      <c r="E38" s="240"/>
      <c r="F38" s="240"/>
      <c r="G38" s="240"/>
      <c r="H38" s="240"/>
      <c r="I38" s="241"/>
      <c r="J38" s="5"/>
      <c r="K38" s="5"/>
    </row>
    <row r="39" spans="1:11" ht="17.25" customHeight="1">
      <c r="A39" s="224" t="s">
        <v>84</v>
      </c>
      <c r="B39" s="225"/>
      <c r="C39" s="225"/>
      <c r="D39" s="225"/>
      <c r="E39" s="225"/>
      <c r="F39" s="225"/>
      <c r="G39" s="225"/>
      <c r="H39" s="225"/>
      <c r="I39" s="226"/>
      <c r="J39" s="5"/>
      <c r="K39" s="5"/>
    </row>
    <row r="40" spans="1:11">
      <c r="A40" s="215"/>
      <c r="B40" s="216"/>
      <c r="C40" s="216"/>
      <c r="D40" s="216"/>
      <c r="E40" s="216"/>
      <c r="F40" s="216"/>
      <c r="G40" s="216"/>
      <c r="H40" s="216"/>
      <c r="I40" s="217"/>
      <c r="J40" s="5"/>
      <c r="K40" s="5"/>
    </row>
    <row r="41" spans="1:11">
      <c r="A41" s="215"/>
      <c r="B41" s="216"/>
      <c r="C41" s="216"/>
      <c r="D41" s="216"/>
      <c r="E41" s="216"/>
      <c r="F41" s="216"/>
      <c r="G41" s="216"/>
      <c r="H41" s="216"/>
      <c r="I41" s="217"/>
      <c r="J41" s="5"/>
      <c r="K41" s="5"/>
    </row>
    <row r="42" spans="1:11">
      <c r="A42" s="50"/>
      <c r="B42" s="94" t="s">
        <v>68</v>
      </c>
      <c r="C42" s="95"/>
      <c r="D42" s="96"/>
      <c r="E42" s="96" t="s">
        <v>69</v>
      </c>
      <c r="I42" s="51"/>
      <c r="J42" s="5"/>
      <c r="K42" s="5"/>
    </row>
    <row r="43" spans="1:11">
      <c r="A43" s="50"/>
      <c r="B43" s="94" t="s">
        <v>70</v>
      </c>
      <c r="C43" s="95"/>
      <c r="D43" s="96"/>
      <c r="E43" s="96"/>
      <c r="I43" s="51"/>
      <c r="J43" s="5"/>
      <c r="K43" s="5"/>
    </row>
    <row r="44" spans="1:11">
      <c r="A44" s="50"/>
      <c r="B44" s="94" t="s">
        <v>71</v>
      </c>
      <c r="C44" s="95"/>
      <c r="D44" s="96"/>
      <c r="E44" s="96"/>
      <c r="I44" s="51"/>
      <c r="J44" s="5"/>
      <c r="K44" s="5"/>
    </row>
    <row r="45" spans="1:11" ht="18" thickBot="1">
      <c r="A45" s="50"/>
      <c r="B45" s="97" t="s">
        <v>72</v>
      </c>
      <c r="C45" s="98"/>
      <c r="D45" s="99"/>
      <c r="E45" s="99"/>
      <c r="I45" s="51"/>
      <c r="J45" s="5"/>
      <c r="K45" s="5"/>
    </row>
    <row r="46" spans="1:11" ht="18.75" thickTop="1" thickBot="1">
      <c r="A46" s="52"/>
      <c r="B46" s="53"/>
      <c r="C46" s="54"/>
      <c r="D46" s="55"/>
      <c r="E46" s="55"/>
      <c r="F46" s="55"/>
      <c r="G46" s="55"/>
      <c r="H46" s="55"/>
      <c r="I46" s="56"/>
      <c r="J46" s="5"/>
      <c r="K46" s="5"/>
    </row>
    <row r="47" spans="1:11">
      <c r="J47" s="5"/>
      <c r="K47" s="5"/>
    </row>
    <row r="48" spans="1:11">
      <c r="J48" s="5"/>
      <c r="K48" s="5"/>
    </row>
    <row r="49" spans="10:11">
      <c r="J49" s="5"/>
      <c r="K49" s="5"/>
    </row>
    <row r="50" spans="10:11">
      <c r="J50" s="5"/>
      <c r="K50" s="5"/>
    </row>
    <row r="51" spans="10:11">
      <c r="J51" s="5"/>
      <c r="K51" s="5"/>
    </row>
    <row r="52" spans="10:11">
      <c r="J52" s="5"/>
      <c r="K52" s="5"/>
    </row>
    <row r="53" spans="10:11">
      <c r="J53" s="5"/>
      <c r="K53" s="5"/>
    </row>
    <row r="54" spans="10:11">
      <c r="J54" s="4"/>
      <c r="K54" s="4"/>
    </row>
    <row r="55" spans="10:11">
      <c r="J55" s="4"/>
      <c r="K55" s="4"/>
    </row>
  </sheetData>
  <customSheetViews>
    <customSheetView guid="{4F7B0CB6-6F5D-4F2B-83C9-D01B82C30054}" showPageBreaks="1" showGridLines="0" fitToPage="1" printArea="1">
      <selection activeCell="D14" sqref="D14:E14"/>
      <pageMargins left="0.56999999999999995" right="0.56000000000000005" top="0.91" bottom="0.45" header="0.47" footer="0.3"/>
      <printOptions horizontalCentered="1"/>
      <pageSetup paperSize="9" scale="60" fitToHeight="0" orientation="portrait" r:id="rId1"/>
      <headerFooter alignWithMargins="0">
        <oddHeader xml:space="preserve">&amp;R&amp;"돋움,보통"벨아이앤에스
</oddHeader>
      </headerFooter>
    </customSheetView>
  </customSheetViews>
  <mergeCells count="61">
    <mergeCell ref="B17:C17"/>
    <mergeCell ref="D17:E17"/>
    <mergeCell ref="B20:C20"/>
    <mergeCell ref="D20:E20"/>
    <mergeCell ref="B23:C23"/>
    <mergeCell ref="D23:E23"/>
    <mergeCell ref="B21:C21"/>
    <mergeCell ref="D21:E21"/>
    <mergeCell ref="B25:C25"/>
    <mergeCell ref="D25:E25"/>
    <mergeCell ref="D29:I29"/>
    <mergeCell ref="D30:I30"/>
    <mergeCell ref="D26:E26"/>
    <mergeCell ref="D28:E28"/>
    <mergeCell ref="A28:C28"/>
    <mergeCell ref="D27:E27"/>
    <mergeCell ref="A26:C26"/>
    <mergeCell ref="B24:C24"/>
    <mergeCell ref="D24:E24"/>
    <mergeCell ref="D22:E22"/>
    <mergeCell ref="A3:B3"/>
    <mergeCell ref="D14:E14"/>
    <mergeCell ref="E11:E12"/>
    <mergeCell ref="B22:C22"/>
    <mergeCell ref="A15:G15"/>
    <mergeCell ref="C9:D9"/>
    <mergeCell ref="C11:D11"/>
    <mergeCell ref="B16:C16"/>
    <mergeCell ref="D16:E16"/>
    <mergeCell ref="B18:C18"/>
    <mergeCell ref="D18:E18"/>
    <mergeCell ref="B19:C19"/>
    <mergeCell ref="D19:E19"/>
    <mergeCell ref="A41:I41"/>
    <mergeCell ref="A40:I40"/>
    <mergeCell ref="A29:C29"/>
    <mergeCell ref="A27:C27"/>
    <mergeCell ref="A39:I39"/>
    <mergeCell ref="A32:C32"/>
    <mergeCell ref="A30:C30"/>
    <mergeCell ref="A35:I35"/>
    <mergeCell ref="D32:I32"/>
    <mergeCell ref="A31:C31"/>
    <mergeCell ref="A37:I37"/>
    <mergeCell ref="A36:I36"/>
    <mergeCell ref="A34:I34"/>
    <mergeCell ref="D31:I31"/>
    <mergeCell ref="A38:I38"/>
    <mergeCell ref="A1:I1"/>
    <mergeCell ref="A4:B4"/>
    <mergeCell ref="C4:D4"/>
    <mergeCell ref="A5:B5"/>
    <mergeCell ref="B14:C14"/>
    <mergeCell ref="C12:D12"/>
    <mergeCell ref="A11:B12"/>
    <mergeCell ref="A6:B6"/>
    <mergeCell ref="A7:B7"/>
    <mergeCell ref="A8:B8"/>
    <mergeCell ref="A9:B9"/>
    <mergeCell ref="B13:D13"/>
    <mergeCell ref="G3:I3"/>
  </mergeCells>
  <phoneticPr fontId="15" type="noConversion"/>
  <hyperlinks>
    <hyperlink ref="H11" r:id="rId2" xr:uid="{00000000-0004-0000-0000-000000000000}"/>
    <hyperlink ref="C8" r:id="rId3" xr:uid="{68BE057B-1E1C-4357-944B-550544C754F3}"/>
  </hyperlinks>
  <printOptions horizontalCentered="1"/>
  <pageMargins left="0.56999999999999995" right="0.56000000000000005" top="0.91" bottom="0.45" header="0.47" footer="0.3"/>
  <pageSetup paperSize="9" scale="59" fitToHeight="0" orientation="portrait" r:id="rId4"/>
  <headerFooter alignWithMargins="0">
    <oddHeader xml:space="preserve">&amp;R&amp;"돋움,보통"벨아이앤에스
</oddHead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BECF-77B8-41EB-81AC-BC5239A0EC56}">
  <dimension ref="A1:L24"/>
  <sheetViews>
    <sheetView view="pageBreakPreview" zoomScaleNormal="100" zoomScaleSheetLayoutView="100" zoomScalePageLayoutView="85" workbookViewId="0">
      <selection activeCell="D27" sqref="D27"/>
    </sheetView>
  </sheetViews>
  <sheetFormatPr defaultColWidth="14.42578125" defaultRowHeight="15.75" customHeight="1"/>
  <cols>
    <col min="1" max="1" width="20.42578125" style="61" customWidth="1"/>
    <col min="2" max="6" width="15" style="61" customWidth="1"/>
    <col min="7" max="7" width="11.140625" style="61" customWidth="1"/>
    <col min="8" max="8" width="12.42578125" style="61" bestFit="1" customWidth="1"/>
    <col min="9" max="10" width="14.28515625" style="61" bestFit="1" customWidth="1"/>
    <col min="11" max="11" width="10" style="61" customWidth="1"/>
    <col min="12" max="12" width="29.140625" style="61" hidden="1" customWidth="1"/>
    <col min="13" max="16384" width="14.42578125" style="61"/>
  </cols>
  <sheetData>
    <row r="1" spans="1:12" ht="15.75" customHeight="1">
      <c r="A1" s="61" t="s">
        <v>75</v>
      </c>
    </row>
    <row r="2" spans="1:12" ht="15.75" customHeight="1">
      <c r="A2" s="61" t="s">
        <v>83</v>
      </c>
      <c r="J2" s="105">
        <v>1.05</v>
      </c>
    </row>
    <row r="4" spans="1:12" ht="24.95" customHeight="1">
      <c r="A4" s="85" t="s">
        <v>66</v>
      </c>
      <c r="B4" s="85" t="s">
        <v>42</v>
      </c>
      <c r="C4" s="85" t="s">
        <v>43</v>
      </c>
      <c r="D4" s="85" t="s">
        <v>44</v>
      </c>
      <c r="E4" s="85" t="s">
        <v>45</v>
      </c>
      <c r="F4" s="85" t="s">
        <v>46</v>
      </c>
      <c r="G4" s="86" t="s">
        <v>47</v>
      </c>
      <c r="H4" s="86" t="s">
        <v>48</v>
      </c>
      <c r="I4" s="86" t="s">
        <v>49</v>
      </c>
      <c r="J4" s="86" t="s">
        <v>50</v>
      </c>
      <c r="K4" s="86" t="s">
        <v>51</v>
      </c>
      <c r="L4" s="65"/>
    </row>
    <row r="5" spans="1:12" s="103" customFormat="1" ht="27.95" customHeight="1">
      <c r="A5" s="87" t="s">
        <v>76</v>
      </c>
      <c r="B5" s="87">
        <v>10086804</v>
      </c>
      <c r="C5" s="87">
        <f t="shared" ref="C5" si="0">B5*1.1</f>
        <v>11095484.4</v>
      </c>
      <c r="D5" s="87">
        <f t="shared" ref="D5" si="1">(B5+C5)*0.2</f>
        <v>4236457.68</v>
      </c>
      <c r="E5" s="87">
        <f t="shared" ref="E5" si="2">B5+C5+D5</f>
        <v>25418746.079999998</v>
      </c>
      <c r="F5" s="87">
        <f>E5-(E5*$K$5/100)</f>
        <v>21605934.167999998</v>
      </c>
      <c r="G5" s="88">
        <f>별첨2_공수산정!I7</f>
        <v>62</v>
      </c>
      <c r="H5" s="89">
        <f t="shared" ref="H5" si="3">G5/20.5</f>
        <v>3.024390243902439</v>
      </c>
      <c r="I5" s="87">
        <f t="shared" ref="I5:I11" si="4">E5*H5</f>
        <v>76876207.656585366</v>
      </c>
      <c r="J5" s="87">
        <f t="shared" ref="J5:J11" si="5">F5*H5</f>
        <v>65344776.508097552</v>
      </c>
      <c r="K5" s="87">
        <f t="shared" ref="K5:K12" si="6">$B$24</f>
        <v>15</v>
      </c>
    </row>
    <row r="6" spans="1:12" ht="27.95" customHeight="1">
      <c r="A6" s="87" t="s">
        <v>77</v>
      </c>
      <c r="B6" s="87">
        <v>11853218</v>
      </c>
      <c r="C6" s="87">
        <f>B6*1.1</f>
        <v>13038539.800000001</v>
      </c>
      <c r="D6" s="87">
        <f>(B6+C6)*0.2</f>
        <v>4978351.5600000005</v>
      </c>
      <c r="E6" s="87">
        <f>B6+C6+D6</f>
        <v>29870109.359999999</v>
      </c>
      <c r="F6" s="87">
        <f>E6-(E6*$K$6/100)</f>
        <v>25389592.956</v>
      </c>
      <c r="G6" s="88">
        <f>별첨2_공수산정!I12</f>
        <v>20</v>
      </c>
      <c r="H6" s="89">
        <f>G6/20.5</f>
        <v>0.97560975609756095</v>
      </c>
      <c r="I6" s="87">
        <f t="shared" si="4"/>
        <v>29141570.107317071</v>
      </c>
      <c r="J6" s="87">
        <f t="shared" si="5"/>
        <v>24770334.591219511</v>
      </c>
      <c r="K6" s="87">
        <f t="shared" si="6"/>
        <v>15</v>
      </c>
      <c r="L6" s="65"/>
    </row>
    <row r="7" spans="1:12" ht="27.95" customHeight="1">
      <c r="A7" s="87" t="s">
        <v>78</v>
      </c>
      <c r="B7" s="87">
        <v>5159246</v>
      </c>
      <c r="C7" s="87">
        <f t="shared" ref="C7:C10" si="7">B7*1.1</f>
        <v>5675170.6000000006</v>
      </c>
      <c r="D7" s="87">
        <f t="shared" ref="D7:D10" si="8">(B7+C7)*0.2</f>
        <v>2166883.3200000003</v>
      </c>
      <c r="E7" s="87">
        <f t="shared" ref="E7:E10" si="9">B7+C7+D7</f>
        <v>13001299.920000002</v>
      </c>
      <c r="F7" s="87">
        <f>E7-(E7*$K$7/100)</f>
        <v>11051104.932000002</v>
      </c>
      <c r="G7" s="88">
        <f>별첨2_공수산정!I17</f>
        <v>3</v>
      </c>
      <c r="H7" s="89">
        <f t="shared" ref="H7:H11" si="10">G7/20.5</f>
        <v>0.14634146341463414</v>
      </c>
      <c r="I7" s="87">
        <f t="shared" si="4"/>
        <v>1902629.2565853661</v>
      </c>
      <c r="J7" s="87">
        <f t="shared" si="5"/>
        <v>1617234.8680975612</v>
      </c>
      <c r="K7" s="87">
        <f t="shared" si="6"/>
        <v>15</v>
      </c>
      <c r="L7" s="65"/>
    </row>
    <row r="8" spans="1:12" ht="27.95" customHeight="1">
      <c r="A8" s="87" t="s">
        <v>79</v>
      </c>
      <c r="B8" s="87">
        <v>6901660</v>
      </c>
      <c r="C8" s="87">
        <f t="shared" si="7"/>
        <v>7591826.0000000009</v>
      </c>
      <c r="D8" s="87">
        <f t="shared" si="8"/>
        <v>2898697.2</v>
      </c>
      <c r="E8" s="87">
        <f t="shared" si="9"/>
        <v>17392183.199999999</v>
      </c>
      <c r="F8" s="87">
        <f>E8-(E8*$K$8/100)</f>
        <v>14783355.719999999</v>
      </c>
      <c r="G8" s="88">
        <f>별첨2_공수산정!I22</f>
        <v>7</v>
      </c>
      <c r="H8" s="89">
        <f t="shared" si="10"/>
        <v>0.34146341463414637</v>
      </c>
      <c r="I8" s="87">
        <f t="shared" si="4"/>
        <v>5938794.2634146344</v>
      </c>
      <c r="J8" s="87">
        <f t="shared" si="5"/>
        <v>5047975.1239024391</v>
      </c>
      <c r="K8" s="87">
        <f t="shared" si="6"/>
        <v>15</v>
      </c>
      <c r="L8" s="65"/>
    </row>
    <row r="9" spans="1:12" ht="27.95" customHeight="1">
      <c r="A9" s="87" t="s">
        <v>129</v>
      </c>
      <c r="B9" s="87">
        <v>11103230</v>
      </c>
      <c r="C9" s="87">
        <f t="shared" si="7"/>
        <v>12213553.000000002</v>
      </c>
      <c r="D9" s="87">
        <f t="shared" si="8"/>
        <v>4663356.6000000006</v>
      </c>
      <c r="E9" s="87">
        <f t="shared" si="9"/>
        <v>27980139.600000001</v>
      </c>
      <c r="F9" s="87">
        <f>E9-(E9*$K$9/100)</f>
        <v>23783118.66</v>
      </c>
      <c r="G9" s="88">
        <f>별첨2_공수산정!I27</f>
        <v>20</v>
      </c>
      <c r="H9" s="89">
        <f t="shared" si="10"/>
        <v>0.97560975609756095</v>
      </c>
      <c r="I9" s="87">
        <f>E9*H9</f>
        <v>27297697.170731708</v>
      </c>
      <c r="J9" s="87">
        <f t="shared" si="5"/>
        <v>23203042.59512195</v>
      </c>
      <c r="K9" s="87">
        <f t="shared" si="6"/>
        <v>15</v>
      </c>
      <c r="L9" s="65"/>
    </row>
    <row r="10" spans="1:12" ht="27.95" customHeight="1">
      <c r="A10" s="87" t="s">
        <v>80</v>
      </c>
      <c r="B10" s="87">
        <v>7754124</v>
      </c>
      <c r="C10" s="87">
        <f t="shared" si="7"/>
        <v>8529536.4000000004</v>
      </c>
      <c r="D10" s="87">
        <f t="shared" si="8"/>
        <v>3256732.08</v>
      </c>
      <c r="E10" s="87">
        <f t="shared" si="9"/>
        <v>19540392.48</v>
      </c>
      <c r="F10" s="87">
        <f>E10-(E10*$K$10/100)</f>
        <v>16609333.608000001</v>
      </c>
      <c r="G10" s="88">
        <f>별첨2_공수산정!I37</f>
        <v>200</v>
      </c>
      <c r="H10" s="89">
        <f t="shared" si="10"/>
        <v>9.7560975609756095</v>
      </c>
      <c r="I10" s="87">
        <f t="shared" si="4"/>
        <v>190637975.41463414</v>
      </c>
      <c r="J10" s="87">
        <f t="shared" si="5"/>
        <v>162042279.10243902</v>
      </c>
      <c r="K10" s="87">
        <f t="shared" si="6"/>
        <v>15</v>
      </c>
      <c r="L10" s="65"/>
    </row>
    <row r="11" spans="1:12" ht="27.95" customHeight="1">
      <c r="A11" s="87" t="s">
        <v>81</v>
      </c>
      <c r="B11" s="87">
        <v>10649117</v>
      </c>
      <c r="C11" s="87">
        <f>B11*1.1</f>
        <v>11714028.700000001</v>
      </c>
      <c r="D11" s="87">
        <f>(B11+C11)*0.2</f>
        <v>4472629.1400000006</v>
      </c>
      <c r="E11" s="87">
        <f>B11+C11+D11</f>
        <v>26835774.840000004</v>
      </c>
      <c r="F11" s="87">
        <f>E11-(E11*$K$11/100)</f>
        <v>22810408.614000004</v>
      </c>
      <c r="G11" s="88">
        <f>별첨2_공수산정!I43</f>
        <v>31</v>
      </c>
      <c r="H11" s="89">
        <f t="shared" si="10"/>
        <v>1.5121951219512195</v>
      </c>
      <c r="I11" s="87">
        <f t="shared" si="4"/>
        <v>40580927.806829274</v>
      </c>
      <c r="J11" s="87">
        <f t="shared" si="5"/>
        <v>34493788.635804884</v>
      </c>
      <c r="K11" s="87">
        <f t="shared" si="6"/>
        <v>15</v>
      </c>
      <c r="L11" s="66" t="s">
        <v>53</v>
      </c>
    </row>
    <row r="12" spans="1:12" ht="27.95" customHeight="1">
      <c r="A12" s="90" t="s">
        <v>52</v>
      </c>
      <c r="B12" s="91"/>
      <c r="C12" s="91"/>
      <c r="D12" s="91"/>
      <c r="E12" s="91"/>
      <c r="F12" s="91"/>
      <c r="G12" s="104">
        <f>SUM(G5:G11)</f>
        <v>343</v>
      </c>
      <c r="H12" s="104">
        <f>SUM(H5:H11)</f>
        <v>16.73170731707317</v>
      </c>
      <c r="I12" s="104">
        <f>SUM(I5:I11)</f>
        <v>372375801.67609757</v>
      </c>
      <c r="J12" s="104">
        <f>SUM(J5:J11)</f>
        <v>316519431.42468292</v>
      </c>
      <c r="K12" s="104">
        <f t="shared" si="6"/>
        <v>15</v>
      </c>
      <c r="L12" s="84"/>
    </row>
    <row r="13" spans="1:12" ht="15.75" customHeight="1">
      <c r="A13" s="67"/>
      <c r="H13" s="62"/>
      <c r="I13" s="63"/>
      <c r="J13" s="63"/>
      <c r="K13" s="64"/>
    </row>
    <row r="14" spans="1:12" ht="15.75" customHeight="1">
      <c r="A14" s="272" t="str">
        <f>견적서!A15</f>
        <v xml:space="preserve"> 신한은행TDM솔루션개발</v>
      </c>
      <c r="B14" s="272"/>
      <c r="C14" s="272"/>
      <c r="E14" s="62"/>
      <c r="H14" s="62"/>
    </row>
    <row r="15" spans="1:12" ht="15.75" customHeight="1">
      <c r="A15" s="68"/>
      <c r="B15" s="61" t="s">
        <v>131</v>
      </c>
    </row>
    <row r="16" spans="1:12" ht="15.75" customHeight="1">
      <c r="A16" s="170" t="s">
        <v>126</v>
      </c>
      <c r="E16" s="62"/>
      <c r="H16" s="62"/>
    </row>
    <row r="17" spans="1:8" ht="15.75" customHeight="1">
      <c r="A17" s="69" t="s">
        <v>54</v>
      </c>
      <c r="B17" s="273" t="s">
        <v>55</v>
      </c>
      <c r="C17" s="274"/>
      <c r="E17" s="62"/>
      <c r="H17" s="62"/>
    </row>
    <row r="18" spans="1:8" ht="15.75" customHeight="1">
      <c r="A18" s="69" t="s">
        <v>43</v>
      </c>
      <c r="B18" s="273" t="s">
        <v>56</v>
      </c>
      <c r="C18" s="274"/>
      <c r="E18" s="62"/>
      <c r="H18" s="62"/>
    </row>
    <row r="19" spans="1:8" ht="15.75" customHeight="1">
      <c r="A19" s="69" t="s">
        <v>44</v>
      </c>
      <c r="B19" s="273" t="s">
        <v>57</v>
      </c>
      <c r="C19" s="274"/>
      <c r="E19" s="62"/>
      <c r="H19" s="62"/>
    </row>
    <row r="20" spans="1:8" ht="15.75" customHeight="1">
      <c r="A20" s="69" t="s">
        <v>45</v>
      </c>
      <c r="B20" s="273" t="s">
        <v>58</v>
      </c>
      <c r="C20" s="274"/>
      <c r="E20" s="62"/>
      <c r="H20" s="62"/>
    </row>
    <row r="21" spans="1:8" ht="15.75" customHeight="1">
      <c r="A21" s="69" t="s">
        <v>46</v>
      </c>
      <c r="B21" s="273" t="s">
        <v>67</v>
      </c>
      <c r="C21" s="274"/>
      <c r="E21" s="62"/>
      <c r="H21" s="62"/>
    </row>
    <row r="22" spans="1:8" ht="15.75" customHeight="1">
      <c r="A22" s="69" t="s">
        <v>59</v>
      </c>
      <c r="B22" s="273" t="s">
        <v>60</v>
      </c>
      <c r="C22" s="274"/>
    </row>
    <row r="23" spans="1:8" ht="15.75" customHeight="1">
      <c r="A23" s="69" t="s">
        <v>61</v>
      </c>
      <c r="B23" s="273" t="s">
        <v>62</v>
      </c>
      <c r="C23" s="274"/>
    </row>
    <row r="24" spans="1:8" ht="15.75" customHeight="1">
      <c r="A24" s="61" t="s">
        <v>63</v>
      </c>
      <c r="B24" s="68">
        <v>15</v>
      </c>
    </row>
  </sheetData>
  <mergeCells count="8">
    <mergeCell ref="A14:C14"/>
    <mergeCell ref="B17:C17"/>
    <mergeCell ref="B18:C18"/>
    <mergeCell ref="B23:C23"/>
    <mergeCell ref="B19:C19"/>
    <mergeCell ref="B20:C20"/>
    <mergeCell ref="B21:C21"/>
    <mergeCell ref="B22:C22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80" fitToWidth="0" orientation="landscape" r:id="rId1"/>
  <headerFooter>
    <oddHeader>&amp;L&amp;"돋움,보통"별첨1 - 인건비산정&amp;R&amp;"돋움,보통"벨아이앤에스</oddHeader>
  </headerFooter>
  <colBreaks count="1" manualBreakCount="1">
    <brk id="12" max="2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0608-04CD-4753-9DBD-60F1AC37A2C5}">
  <dimension ref="A1:T573"/>
  <sheetViews>
    <sheetView workbookViewId="0">
      <selection activeCell="J42" sqref="J42"/>
    </sheetView>
  </sheetViews>
  <sheetFormatPr defaultColWidth="14.42578125" defaultRowHeight="13.5"/>
  <cols>
    <col min="1" max="1" width="16.7109375" style="166" customWidth="1"/>
    <col min="2" max="2" width="22" style="167" customWidth="1"/>
    <col min="3" max="3" width="22.5703125" style="167" bestFit="1" customWidth="1"/>
    <col min="4" max="4" width="30.42578125" style="167" bestFit="1" customWidth="1"/>
    <col min="5" max="5" width="20.7109375" style="167" customWidth="1"/>
    <col min="6" max="6" width="79.85546875" style="167" customWidth="1"/>
    <col min="7" max="7" width="9.28515625" style="168" bestFit="1" customWidth="1"/>
    <col min="8" max="8" width="11.140625" style="169" bestFit="1" customWidth="1"/>
    <col min="9" max="9" width="9" style="120" customWidth="1"/>
    <col min="10" max="10" width="37.42578125" style="120" bestFit="1" customWidth="1"/>
    <col min="11" max="16384" width="14.42578125" style="120"/>
  </cols>
  <sheetData>
    <row r="1" spans="1:20" s="111" customFormat="1" ht="16.5">
      <c r="A1" s="106"/>
      <c r="B1" s="107"/>
      <c r="C1" s="107"/>
      <c r="D1" s="108"/>
      <c r="E1" s="107"/>
      <c r="F1" s="109"/>
      <c r="G1" s="110"/>
      <c r="H1" s="110"/>
      <c r="J1" s="112"/>
    </row>
    <row r="2" spans="1:20" s="111" customFormat="1" ht="16.5">
      <c r="A2" s="106" t="s">
        <v>89</v>
      </c>
      <c r="B2" s="107"/>
      <c r="C2" s="107"/>
      <c r="D2" s="108"/>
      <c r="E2" s="107"/>
      <c r="F2" s="109"/>
      <c r="G2" s="113"/>
      <c r="H2" s="110"/>
      <c r="J2" s="114" t="s">
        <v>127</v>
      </c>
    </row>
    <row r="3" spans="1:20">
      <c r="A3" s="115"/>
      <c r="B3" s="116"/>
      <c r="C3" s="116"/>
      <c r="D3" s="116"/>
      <c r="E3" s="116"/>
      <c r="F3" s="116"/>
      <c r="G3" s="117"/>
      <c r="H3" s="118"/>
      <c r="I3" s="116"/>
      <c r="J3" s="119"/>
    </row>
    <row r="4" spans="1:20">
      <c r="A4" s="121" t="s">
        <v>90</v>
      </c>
      <c r="B4" s="116"/>
      <c r="C4" s="116"/>
      <c r="D4" s="116"/>
      <c r="E4" s="116"/>
      <c r="F4" s="116"/>
      <c r="G4" s="117"/>
      <c r="H4" s="118"/>
      <c r="I4" s="116"/>
      <c r="J4" s="122"/>
    </row>
    <row r="5" spans="1:20" s="127" customFormat="1">
      <c r="A5" s="123" t="s">
        <v>91</v>
      </c>
      <c r="B5" s="124" t="s">
        <v>92</v>
      </c>
      <c r="C5" s="124" t="s">
        <v>93</v>
      </c>
      <c r="D5" s="125" t="s">
        <v>94</v>
      </c>
      <c r="E5" s="124" t="s">
        <v>95</v>
      </c>
      <c r="F5" s="125" t="s">
        <v>96</v>
      </c>
      <c r="G5" s="124"/>
      <c r="H5" s="124" t="s">
        <v>97</v>
      </c>
      <c r="I5" s="124" t="s">
        <v>52</v>
      </c>
      <c r="J5" s="124" t="s">
        <v>98</v>
      </c>
      <c r="K5" s="126"/>
      <c r="L5" s="126"/>
      <c r="M5" s="126"/>
      <c r="N5" s="126"/>
      <c r="O5" s="126"/>
      <c r="P5" s="126"/>
      <c r="Q5" s="126"/>
      <c r="R5" s="126"/>
      <c r="S5" s="126"/>
      <c r="T5" s="126"/>
    </row>
    <row r="6" spans="1:20" s="127" customFormat="1">
      <c r="A6" s="128"/>
      <c r="B6" s="129" t="s">
        <v>99</v>
      </c>
      <c r="C6" s="130"/>
      <c r="D6" s="131"/>
      <c r="E6" s="132"/>
      <c r="F6" s="133" t="s">
        <v>100</v>
      </c>
      <c r="G6" s="134"/>
      <c r="H6" s="134">
        <v>62</v>
      </c>
      <c r="I6" s="135">
        <f>SUM(G6:H6)</f>
        <v>62</v>
      </c>
      <c r="J6" s="136" t="s">
        <v>156</v>
      </c>
      <c r="K6" s="126"/>
      <c r="L6" s="126"/>
      <c r="M6" s="126"/>
      <c r="N6" s="126"/>
      <c r="O6" s="126"/>
      <c r="P6" s="126"/>
      <c r="Q6" s="126"/>
      <c r="R6" s="126"/>
      <c r="S6" s="126"/>
      <c r="T6" s="126"/>
    </row>
    <row r="7" spans="1:20" s="127" customFormat="1">
      <c r="A7" s="137" t="s">
        <v>101</v>
      </c>
      <c r="B7" s="138"/>
      <c r="C7" s="138"/>
      <c r="D7" s="139"/>
      <c r="E7" s="138"/>
      <c r="F7" s="139"/>
      <c r="G7" s="138"/>
      <c r="H7" s="138">
        <f>SUM(H6:H6)</f>
        <v>62</v>
      </c>
      <c r="I7" s="138">
        <f>SUM(I6:I6)</f>
        <v>62</v>
      </c>
      <c r="J7" s="138"/>
      <c r="K7" s="126"/>
      <c r="L7" s="126"/>
      <c r="M7" s="126"/>
      <c r="N7" s="126"/>
      <c r="O7" s="126"/>
      <c r="P7" s="126"/>
      <c r="Q7" s="126"/>
      <c r="R7" s="126"/>
      <c r="S7" s="126"/>
      <c r="T7" s="126"/>
    </row>
    <row r="8" spans="1:20" s="111" customFormat="1" ht="16.5">
      <c r="A8" s="140"/>
      <c r="B8" s="109"/>
      <c r="C8" s="109"/>
      <c r="D8" s="108"/>
      <c r="E8" s="109"/>
      <c r="F8" s="109"/>
      <c r="G8" s="113"/>
      <c r="H8" s="141"/>
    </row>
    <row r="9" spans="1:20" s="127" customFormat="1">
      <c r="A9" s="121" t="s">
        <v>102</v>
      </c>
      <c r="B9" s="121"/>
      <c r="C9" s="121"/>
      <c r="D9" s="115"/>
      <c r="E9" s="142"/>
      <c r="F9" s="116"/>
      <c r="G9" s="143"/>
      <c r="H9" s="143"/>
      <c r="I9" s="142"/>
      <c r="J9" s="122" t="s">
        <v>148</v>
      </c>
    </row>
    <row r="10" spans="1:20" s="127" customFormat="1">
      <c r="A10" s="123" t="s">
        <v>91</v>
      </c>
      <c r="B10" s="124" t="s">
        <v>92</v>
      </c>
      <c r="C10" s="124" t="s">
        <v>93</v>
      </c>
      <c r="D10" s="125" t="s">
        <v>94</v>
      </c>
      <c r="E10" s="124" t="s">
        <v>95</v>
      </c>
      <c r="F10" s="125" t="s">
        <v>103</v>
      </c>
      <c r="G10" s="124" t="s">
        <v>104</v>
      </c>
      <c r="H10" s="124" t="s">
        <v>105</v>
      </c>
      <c r="I10" s="124" t="s">
        <v>52</v>
      </c>
      <c r="J10" s="124" t="s">
        <v>98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</row>
    <row r="11" spans="1:20" s="127" customFormat="1">
      <c r="A11" s="144" t="s">
        <v>108</v>
      </c>
      <c r="B11" s="145" t="s">
        <v>152</v>
      </c>
      <c r="C11" s="146"/>
      <c r="D11" s="147"/>
      <c r="E11" s="145"/>
      <c r="F11" s="276" t="s">
        <v>153</v>
      </c>
      <c r="G11" s="134"/>
      <c r="H11" s="134">
        <v>20</v>
      </c>
      <c r="I11" s="134">
        <f t="shared" ref="I11" si="0">SUM(G11:H11)</f>
        <v>20</v>
      </c>
      <c r="J11" s="148"/>
      <c r="K11" s="126"/>
      <c r="L11" s="126"/>
      <c r="M11" s="126"/>
      <c r="N11" s="126"/>
      <c r="O11" s="126"/>
      <c r="P11" s="126"/>
      <c r="Q11" s="126"/>
      <c r="R11" s="126"/>
      <c r="S11" s="126"/>
      <c r="T11" s="126"/>
    </row>
    <row r="12" spans="1:20" s="127" customFormat="1">
      <c r="A12" s="137" t="s">
        <v>106</v>
      </c>
      <c r="B12" s="138"/>
      <c r="C12" s="138"/>
      <c r="D12" s="139"/>
      <c r="E12" s="138"/>
      <c r="F12" s="139"/>
      <c r="G12" s="150">
        <f>SUM(G11:G11)</f>
        <v>0</v>
      </c>
      <c r="H12" s="150">
        <f>SUM(H11:H11)</f>
        <v>20</v>
      </c>
      <c r="I12" s="150">
        <f>SUM(I11:I11)</f>
        <v>20</v>
      </c>
      <c r="J12" s="138"/>
      <c r="K12" s="126"/>
      <c r="L12" s="126"/>
      <c r="M12" s="126"/>
      <c r="N12" s="126"/>
      <c r="O12" s="126"/>
      <c r="P12" s="126"/>
      <c r="Q12" s="126"/>
      <c r="R12" s="126"/>
      <c r="S12" s="126"/>
      <c r="T12" s="126"/>
    </row>
    <row r="13" spans="1:20">
      <c r="A13" s="115"/>
      <c r="B13" s="116"/>
      <c r="C13" s="116"/>
      <c r="D13" s="116"/>
      <c r="E13" s="116"/>
      <c r="F13" s="116"/>
      <c r="G13" s="117"/>
      <c r="H13" s="118"/>
      <c r="I13" s="116"/>
      <c r="J13" s="119"/>
    </row>
    <row r="14" spans="1:20">
      <c r="A14" s="121" t="s">
        <v>107</v>
      </c>
      <c r="B14" s="116"/>
      <c r="C14" s="116"/>
      <c r="D14" s="116"/>
      <c r="E14" s="116"/>
      <c r="F14" s="116"/>
      <c r="G14" s="117"/>
      <c r="H14" s="118"/>
      <c r="I14" s="116"/>
      <c r="J14" s="122"/>
    </row>
    <row r="15" spans="1:20" s="127" customFormat="1">
      <c r="A15" s="123" t="s">
        <v>91</v>
      </c>
      <c r="B15" s="124" t="s">
        <v>92</v>
      </c>
      <c r="C15" s="124" t="s">
        <v>93</v>
      </c>
      <c r="D15" s="125" t="s">
        <v>94</v>
      </c>
      <c r="E15" s="124" t="s">
        <v>95</v>
      </c>
      <c r="F15" s="125" t="s">
        <v>96</v>
      </c>
      <c r="G15" s="124" t="s">
        <v>108</v>
      </c>
      <c r="H15" s="124" t="s">
        <v>109</v>
      </c>
      <c r="I15" s="124" t="s">
        <v>52</v>
      </c>
      <c r="J15" s="124" t="s">
        <v>98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s="127" customFormat="1">
      <c r="A16" s="171" t="s">
        <v>109</v>
      </c>
      <c r="B16" s="172"/>
      <c r="C16" s="173"/>
      <c r="D16" s="174"/>
      <c r="E16" s="175"/>
      <c r="F16" s="277" t="s">
        <v>155</v>
      </c>
      <c r="G16" s="176"/>
      <c r="H16" s="177">
        <v>3</v>
      </c>
      <c r="I16" s="151">
        <f t="shared" ref="I16" si="1">SUM(G16:H16)</f>
        <v>3</v>
      </c>
      <c r="J16" s="136"/>
      <c r="K16" s="126"/>
      <c r="L16" s="126"/>
      <c r="M16" s="126"/>
      <c r="N16" s="126"/>
      <c r="O16" s="126"/>
      <c r="P16" s="126"/>
      <c r="Q16" s="126"/>
      <c r="R16" s="126"/>
      <c r="S16" s="126"/>
      <c r="T16" s="126"/>
    </row>
    <row r="17" spans="1:20" s="127" customFormat="1">
      <c r="A17" s="137" t="s">
        <v>101</v>
      </c>
      <c r="B17" s="138"/>
      <c r="C17" s="138"/>
      <c r="D17" s="139"/>
      <c r="E17" s="138"/>
      <c r="F17" s="139"/>
      <c r="G17" s="138">
        <f>SUM(G16:G16)</f>
        <v>0</v>
      </c>
      <c r="H17" s="138">
        <f>SUM(H16:H16)</f>
        <v>3</v>
      </c>
      <c r="I17" s="138">
        <f>SUM(I16:I16)</f>
        <v>3</v>
      </c>
      <c r="J17" s="138"/>
      <c r="K17" s="126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s="127" customFormat="1">
      <c r="A18" s="121"/>
      <c r="B18" s="121"/>
      <c r="C18" s="121"/>
      <c r="D18" s="115"/>
      <c r="E18" s="142"/>
      <c r="F18" s="116"/>
      <c r="G18" s="143"/>
      <c r="H18" s="143"/>
      <c r="I18" s="142"/>
      <c r="J18" s="142"/>
    </row>
    <row r="19" spans="1:20">
      <c r="A19" s="121" t="s">
        <v>110</v>
      </c>
      <c r="B19" s="116"/>
      <c r="C19" s="116"/>
      <c r="D19" s="152"/>
      <c r="E19" s="116"/>
      <c r="F19" s="116"/>
      <c r="G19" s="143"/>
      <c r="H19" s="118"/>
      <c r="I19" s="142"/>
      <c r="J19" s="122" t="s">
        <v>149</v>
      </c>
    </row>
    <row r="20" spans="1:20" s="127" customFormat="1">
      <c r="A20" s="123" t="s">
        <v>91</v>
      </c>
      <c r="B20" s="124" t="s">
        <v>92</v>
      </c>
      <c r="C20" s="124" t="s">
        <v>93</v>
      </c>
      <c r="D20" s="125" t="s">
        <v>94</v>
      </c>
      <c r="E20" s="124" t="s">
        <v>95</v>
      </c>
      <c r="F20" s="125" t="s">
        <v>96</v>
      </c>
      <c r="G20" s="124" t="s">
        <v>108</v>
      </c>
      <c r="H20" s="124" t="s">
        <v>111</v>
      </c>
      <c r="I20" s="124" t="s">
        <v>52</v>
      </c>
      <c r="J20" s="124" t="s">
        <v>98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</row>
    <row r="21" spans="1:20" s="127" customFormat="1" ht="36">
      <c r="A21" s="171" t="s">
        <v>150</v>
      </c>
      <c r="B21" s="172"/>
      <c r="C21" s="173"/>
      <c r="D21" s="174"/>
      <c r="E21" s="175"/>
      <c r="F21" s="277" t="s">
        <v>151</v>
      </c>
      <c r="G21" s="178"/>
      <c r="H21" s="179">
        <v>7</v>
      </c>
      <c r="I21" s="151">
        <f>SUM(G21:H21)</f>
        <v>7</v>
      </c>
      <c r="J21" s="153"/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s="127" customFormat="1">
      <c r="A22" s="137" t="s">
        <v>106</v>
      </c>
      <c r="B22" s="138"/>
      <c r="C22" s="138"/>
      <c r="D22" s="139"/>
      <c r="E22" s="138"/>
      <c r="F22" s="139"/>
      <c r="G22" s="138">
        <f>SUM(G21:G21)</f>
        <v>0</v>
      </c>
      <c r="H22" s="138">
        <f>SUM(H21:H21)</f>
        <v>7</v>
      </c>
      <c r="I22" s="138">
        <f>SUM(I21:I21)</f>
        <v>7</v>
      </c>
      <c r="J22" s="138"/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s="127" customFormat="1">
      <c r="A23" s="121"/>
      <c r="B23" s="121"/>
      <c r="C23" s="121"/>
      <c r="D23" s="115"/>
      <c r="E23" s="142"/>
      <c r="F23" s="116"/>
      <c r="G23" s="143"/>
      <c r="H23" s="143"/>
      <c r="I23" s="142"/>
      <c r="J23" s="142"/>
    </row>
    <row r="24" spans="1:20">
      <c r="A24" s="121" t="s">
        <v>112</v>
      </c>
      <c r="B24" s="116"/>
      <c r="C24" s="116"/>
      <c r="D24" s="152"/>
      <c r="E24" s="116"/>
      <c r="F24" s="116"/>
      <c r="G24" s="143"/>
      <c r="H24" s="118"/>
      <c r="I24" s="142"/>
      <c r="J24" s="122"/>
    </row>
    <row r="25" spans="1:20" s="127" customFormat="1">
      <c r="A25" s="123" t="s">
        <v>91</v>
      </c>
      <c r="B25" s="124" t="s">
        <v>92</v>
      </c>
      <c r="C25" s="124" t="s">
        <v>93</v>
      </c>
      <c r="D25" s="125" t="s">
        <v>94</v>
      </c>
      <c r="E25" s="124" t="s">
        <v>95</v>
      </c>
      <c r="F25" s="125" t="s">
        <v>96</v>
      </c>
      <c r="G25" s="124" t="s">
        <v>108</v>
      </c>
      <c r="H25" s="124" t="s">
        <v>113</v>
      </c>
      <c r="I25" s="124" t="s">
        <v>52</v>
      </c>
      <c r="J25" s="124" t="s">
        <v>98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s="127" customFormat="1" ht="24">
      <c r="A26" s="149" t="s">
        <v>108</v>
      </c>
      <c r="B26" s="155"/>
      <c r="C26" s="154"/>
      <c r="D26" s="148"/>
      <c r="E26" s="156"/>
      <c r="F26" s="156" t="s">
        <v>154</v>
      </c>
      <c r="G26" s="157"/>
      <c r="H26" s="157">
        <v>20</v>
      </c>
      <c r="I26" s="135">
        <f t="shared" ref="I26" si="2">SUM(G26:H26)</f>
        <v>20</v>
      </c>
      <c r="J26" s="148"/>
      <c r="K26" s="126"/>
      <c r="L26" s="126"/>
      <c r="M26" s="126"/>
      <c r="N26" s="126"/>
      <c r="O26" s="126"/>
      <c r="P26" s="126"/>
      <c r="Q26" s="126"/>
      <c r="R26" s="126"/>
      <c r="S26" s="126"/>
      <c r="T26" s="126"/>
    </row>
    <row r="27" spans="1:20" s="127" customFormat="1">
      <c r="A27" s="137" t="s">
        <v>106</v>
      </c>
      <c r="B27" s="138"/>
      <c r="C27" s="138"/>
      <c r="D27" s="139"/>
      <c r="E27" s="138"/>
      <c r="F27" s="139"/>
      <c r="G27" s="138">
        <f>SUM(G26:G26)</f>
        <v>0</v>
      </c>
      <c r="H27" s="138">
        <f>SUM(H26:H26)</f>
        <v>20</v>
      </c>
      <c r="I27" s="138">
        <f>SUM(I26:I26)</f>
        <v>20</v>
      </c>
      <c r="J27" s="138"/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>
      <c r="A28" s="115"/>
      <c r="B28" s="116"/>
      <c r="C28" s="116"/>
      <c r="D28" s="116"/>
      <c r="E28" s="116"/>
      <c r="F28" s="116"/>
      <c r="G28" s="143"/>
      <c r="H28" s="118"/>
      <c r="I28" s="142"/>
      <c r="J28" s="158"/>
    </row>
    <row r="29" spans="1:20">
      <c r="A29" s="115" t="s">
        <v>114</v>
      </c>
      <c r="B29" s="116"/>
      <c r="C29" s="116"/>
      <c r="D29" s="116"/>
      <c r="E29" s="116"/>
      <c r="F29" s="116"/>
      <c r="G29" s="143"/>
      <c r="H29" s="118"/>
      <c r="I29" s="142"/>
      <c r="J29" s="122" t="s">
        <v>128</v>
      </c>
    </row>
    <row r="30" spans="1:20" s="127" customFormat="1">
      <c r="A30" s="123" t="s">
        <v>91</v>
      </c>
      <c r="B30" s="124" t="s">
        <v>92</v>
      </c>
      <c r="C30" s="124" t="s">
        <v>93</v>
      </c>
      <c r="D30" s="125" t="s">
        <v>94</v>
      </c>
      <c r="E30" s="124" t="s">
        <v>95</v>
      </c>
      <c r="F30" s="125" t="s">
        <v>96</v>
      </c>
      <c r="G30" s="124" t="s">
        <v>105</v>
      </c>
      <c r="H30" s="124" t="s">
        <v>115</v>
      </c>
      <c r="I30" s="124" t="s">
        <v>52</v>
      </c>
      <c r="J30" s="124" t="s">
        <v>98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s="127" customFormat="1" ht="72">
      <c r="A31" s="181" t="s">
        <v>64</v>
      </c>
      <c r="B31" s="192" t="s">
        <v>137</v>
      </c>
      <c r="C31" s="192"/>
      <c r="D31" s="193"/>
      <c r="E31" s="192"/>
      <c r="F31" s="180" t="s">
        <v>138</v>
      </c>
      <c r="G31" s="194">
        <v>10</v>
      </c>
      <c r="H31" s="194">
        <v>40</v>
      </c>
      <c r="I31" s="135">
        <f>SUM(G31:H31)</f>
        <v>50</v>
      </c>
      <c r="J31" s="148"/>
      <c r="K31" s="126"/>
      <c r="L31" s="126"/>
      <c r="M31" s="126"/>
      <c r="N31" s="126"/>
      <c r="O31" s="126"/>
      <c r="P31" s="126"/>
      <c r="Q31" s="126"/>
      <c r="R31" s="126"/>
      <c r="S31" s="126"/>
      <c r="T31" s="126"/>
    </row>
    <row r="32" spans="1:20" s="127" customFormat="1" ht="60">
      <c r="A32" s="181"/>
      <c r="B32" s="275" t="s">
        <v>144</v>
      </c>
      <c r="C32" s="192"/>
      <c r="D32" s="193"/>
      <c r="E32" s="198"/>
      <c r="F32" s="180" t="s">
        <v>139</v>
      </c>
      <c r="G32" s="194">
        <v>20</v>
      </c>
      <c r="H32" s="194">
        <v>10</v>
      </c>
      <c r="I32" s="135">
        <f t="shared" ref="I32:I36" si="3">SUM(G32:H32)</f>
        <v>30</v>
      </c>
      <c r="J32" s="148"/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s="127" customFormat="1">
      <c r="A33" s="195"/>
      <c r="B33" s="192" t="s">
        <v>140</v>
      </c>
      <c r="C33" s="196"/>
      <c r="D33" s="184"/>
      <c r="E33" s="196"/>
      <c r="F33" s="197" t="s">
        <v>141</v>
      </c>
      <c r="G33" s="194">
        <v>10</v>
      </c>
      <c r="H33" s="194">
        <v>10</v>
      </c>
      <c r="I33" s="135">
        <f t="shared" si="3"/>
        <v>20</v>
      </c>
      <c r="J33" s="148"/>
      <c r="K33" s="126"/>
      <c r="L33" s="126"/>
      <c r="M33" s="126"/>
      <c r="N33" s="126"/>
      <c r="O33" s="126"/>
      <c r="P33" s="126"/>
      <c r="Q33" s="126"/>
      <c r="R33" s="126"/>
      <c r="S33" s="126"/>
      <c r="T33" s="126"/>
    </row>
    <row r="34" spans="1:20" s="127" customFormat="1">
      <c r="A34" s="181"/>
      <c r="B34" s="192" t="s">
        <v>142</v>
      </c>
      <c r="C34" s="198"/>
      <c r="D34" s="184"/>
      <c r="E34" s="198"/>
      <c r="F34" s="199" t="s">
        <v>145</v>
      </c>
      <c r="G34" s="194">
        <v>10</v>
      </c>
      <c r="H34" s="194">
        <v>30</v>
      </c>
      <c r="I34" s="135">
        <f t="shared" si="3"/>
        <v>40</v>
      </c>
      <c r="J34" s="148"/>
      <c r="K34" s="126"/>
      <c r="L34" s="126"/>
      <c r="M34" s="126"/>
      <c r="N34" s="126"/>
      <c r="O34" s="126"/>
      <c r="P34" s="126"/>
      <c r="Q34" s="126"/>
      <c r="R34" s="126"/>
      <c r="S34" s="126"/>
      <c r="T34" s="126"/>
    </row>
    <row r="35" spans="1:20" s="127" customFormat="1" ht="36">
      <c r="A35" s="195" t="s">
        <v>143</v>
      </c>
      <c r="B35" s="192"/>
      <c r="C35" s="198"/>
      <c r="D35" s="184"/>
      <c r="E35" s="198"/>
      <c r="F35" s="180" t="s">
        <v>146</v>
      </c>
      <c r="G35" s="194"/>
      <c r="H35" s="194">
        <v>40</v>
      </c>
      <c r="I35" s="135">
        <f t="shared" si="3"/>
        <v>40</v>
      </c>
      <c r="J35" s="148"/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s="127" customFormat="1">
      <c r="A36" s="181" t="s">
        <v>116</v>
      </c>
      <c r="B36" s="181"/>
      <c r="C36" s="192"/>
      <c r="D36" s="193"/>
      <c r="E36" s="198"/>
      <c r="F36" s="180" t="s">
        <v>147</v>
      </c>
      <c r="G36" s="194"/>
      <c r="H36" s="194">
        <v>20</v>
      </c>
      <c r="I36" s="135">
        <f t="shared" si="3"/>
        <v>20</v>
      </c>
      <c r="J36" s="148"/>
      <c r="K36" s="126"/>
      <c r="L36" s="126"/>
      <c r="M36" s="126"/>
      <c r="N36" s="126"/>
      <c r="O36" s="126"/>
      <c r="P36" s="126"/>
      <c r="Q36" s="126"/>
      <c r="R36" s="126"/>
      <c r="S36" s="126"/>
      <c r="T36" s="126"/>
    </row>
    <row r="37" spans="1:20" s="127" customFormat="1">
      <c r="A37" s="137" t="s">
        <v>106</v>
      </c>
      <c r="B37" s="138"/>
      <c r="C37" s="138"/>
      <c r="D37" s="139"/>
      <c r="E37" s="138"/>
      <c r="F37" s="139"/>
      <c r="G37" s="138">
        <f>SUM(G31:G36)</f>
        <v>50</v>
      </c>
      <c r="H37" s="138">
        <f>SUM(H31:H36)</f>
        <v>150</v>
      </c>
      <c r="I37" s="138">
        <f>SUM(I31:I36)</f>
        <v>200</v>
      </c>
      <c r="J37" s="138"/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>
      <c r="A38" s="115"/>
      <c r="B38" s="116"/>
      <c r="C38" s="116"/>
      <c r="D38" s="116"/>
      <c r="E38" s="116"/>
      <c r="F38" s="116"/>
      <c r="G38" s="143"/>
      <c r="H38" s="118"/>
      <c r="I38" s="142"/>
      <c r="J38" s="142"/>
    </row>
    <row r="39" spans="1:20">
      <c r="A39" s="121" t="s">
        <v>117</v>
      </c>
      <c r="B39" s="116"/>
      <c r="C39" s="116"/>
      <c r="D39" s="152"/>
      <c r="E39" s="116"/>
      <c r="F39" s="116"/>
      <c r="G39" s="143"/>
      <c r="H39" s="118"/>
      <c r="I39" s="142"/>
      <c r="J39" s="122" t="s">
        <v>118</v>
      </c>
    </row>
    <row r="40" spans="1:20" s="127" customFormat="1">
      <c r="A40" s="123" t="s">
        <v>91</v>
      </c>
      <c r="B40" s="124" t="s">
        <v>92</v>
      </c>
      <c r="C40" s="124" t="s">
        <v>93</v>
      </c>
      <c r="D40" s="125" t="s">
        <v>94</v>
      </c>
      <c r="E40" s="124" t="s">
        <v>95</v>
      </c>
      <c r="F40" s="125" t="s">
        <v>96</v>
      </c>
      <c r="G40" s="124" t="s">
        <v>108</v>
      </c>
      <c r="H40" s="124" t="s">
        <v>97</v>
      </c>
      <c r="I40" s="124" t="s">
        <v>52</v>
      </c>
      <c r="J40" s="124" t="s">
        <v>98</v>
      </c>
      <c r="K40" s="126"/>
      <c r="L40" s="126"/>
      <c r="M40" s="126"/>
      <c r="N40" s="126"/>
      <c r="O40" s="126"/>
      <c r="P40" s="126"/>
      <c r="Q40" s="126"/>
      <c r="R40" s="126"/>
      <c r="S40" s="126"/>
      <c r="T40" s="126"/>
    </row>
    <row r="41" spans="1:20" s="127" customFormat="1" ht="132">
      <c r="A41" s="173" t="s">
        <v>159</v>
      </c>
      <c r="B41" s="182" t="s">
        <v>160</v>
      </c>
      <c r="C41" s="183"/>
      <c r="D41" s="184"/>
      <c r="E41" s="185"/>
      <c r="F41" s="186" t="s">
        <v>157</v>
      </c>
      <c r="G41" s="187"/>
      <c r="H41" s="188">
        <v>11</v>
      </c>
      <c r="I41" s="135">
        <f>SUM(G41:H41)</f>
        <v>11</v>
      </c>
      <c r="J41" s="159"/>
      <c r="K41" s="126"/>
      <c r="L41" s="126"/>
      <c r="M41" s="126"/>
      <c r="N41" s="126"/>
      <c r="O41" s="126"/>
      <c r="P41" s="126"/>
      <c r="Q41" s="126"/>
      <c r="R41" s="126"/>
      <c r="S41" s="126"/>
      <c r="T41" s="126"/>
    </row>
    <row r="42" spans="1:20" s="127" customFormat="1" ht="96">
      <c r="A42" s="189"/>
      <c r="B42" s="190" t="s">
        <v>161</v>
      </c>
      <c r="C42" s="183"/>
      <c r="D42" s="184"/>
      <c r="E42" s="191"/>
      <c r="F42" s="186" t="s">
        <v>158</v>
      </c>
      <c r="G42" s="187"/>
      <c r="H42" s="188">
        <v>20</v>
      </c>
      <c r="I42" s="135">
        <f>SUM(G42:H42)</f>
        <v>20</v>
      </c>
      <c r="J42" s="160" t="s">
        <v>162</v>
      </c>
      <c r="K42" s="126"/>
      <c r="L42" s="126"/>
      <c r="M42" s="126"/>
      <c r="N42" s="126"/>
      <c r="O42" s="126"/>
      <c r="P42" s="126"/>
      <c r="Q42" s="126"/>
      <c r="R42" s="126"/>
      <c r="S42" s="126"/>
      <c r="T42" s="126"/>
    </row>
    <row r="43" spans="1:20" s="127" customFormat="1">
      <c r="A43" s="137" t="s">
        <v>106</v>
      </c>
      <c r="B43" s="138"/>
      <c r="C43" s="138"/>
      <c r="D43" s="139"/>
      <c r="E43" s="138"/>
      <c r="F43" s="139"/>
      <c r="G43" s="138">
        <f>SUM(G41:G42)</f>
        <v>0</v>
      </c>
      <c r="H43" s="138">
        <f>SUM(H41:H42)</f>
        <v>31</v>
      </c>
      <c r="I43" s="138">
        <f>SUM(I41:I42)</f>
        <v>31</v>
      </c>
      <c r="J43" s="138"/>
      <c r="K43" s="126"/>
      <c r="L43" s="126"/>
      <c r="M43" s="126"/>
      <c r="N43" s="126"/>
      <c r="O43" s="126"/>
      <c r="P43" s="126"/>
      <c r="Q43" s="126"/>
      <c r="R43" s="126"/>
      <c r="S43" s="126"/>
      <c r="T43" s="126"/>
    </row>
    <row r="44" spans="1:20">
      <c r="A44" s="161"/>
      <c r="B44" s="162"/>
      <c r="C44" s="162"/>
      <c r="D44" s="162"/>
      <c r="E44" s="162"/>
      <c r="F44" s="162"/>
      <c r="G44" s="163"/>
      <c r="H44" s="164"/>
      <c r="I44" s="165"/>
    </row>
    <row r="45" spans="1:20">
      <c r="A45" s="161"/>
      <c r="B45" s="162"/>
      <c r="C45" s="162"/>
      <c r="D45" s="162"/>
      <c r="E45" s="162"/>
      <c r="F45" s="162"/>
      <c r="G45" s="163"/>
      <c r="H45" s="164"/>
      <c r="I45" s="165"/>
    </row>
    <row r="46" spans="1:20">
      <c r="A46" s="161"/>
      <c r="B46" s="162"/>
      <c r="C46" s="162"/>
      <c r="D46" s="162"/>
      <c r="E46" s="115"/>
      <c r="F46" s="115"/>
      <c r="G46" s="163"/>
      <c r="H46" s="164"/>
      <c r="I46" s="165"/>
    </row>
    <row r="47" spans="1:20">
      <c r="A47" s="161"/>
      <c r="B47" s="162"/>
      <c r="C47" s="162"/>
      <c r="D47" s="162"/>
      <c r="E47" s="162"/>
      <c r="F47" s="162"/>
      <c r="G47" s="163"/>
      <c r="H47" s="164"/>
      <c r="I47" s="165"/>
    </row>
    <row r="48" spans="1:20">
      <c r="A48" s="161"/>
      <c r="B48" s="162"/>
      <c r="C48" s="162"/>
      <c r="D48" s="162"/>
      <c r="E48" s="162"/>
      <c r="F48" s="162"/>
      <c r="G48" s="163"/>
      <c r="H48" s="164"/>
      <c r="I48" s="165"/>
    </row>
    <row r="49" spans="1:9">
      <c r="A49" s="161"/>
      <c r="B49" s="162"/>
      <c r="C49" s="162"/>
      <c r="D49" s="162"/>
      <c r="E49" s="162"/>
      <c r="F49" s="162"/>
      <c r="G49" s="163"/>
      <c r="H49" s="164"/>
      <c r="I49" s="165"/>
    </row>
    <row r="50" spans="1:9">
      <c r="A50" s="161"/>
      <c r="B50" s="162"/>
      <c r="C50" s="162"/>
      <c r="D50" s="162"/>
      <c r="E50" s="162"/>
      <c r="F50" s="162"/>
      <c r="G50" s="163"/>
      <c r="H50" s="164"/>
      <c r="I50" s="165"/>
    </row>
    <row r="51" spans="1:9">
      <c r="A51" s="161"/>
      <c r="B51" s="162"/>
      <c r="C51" s="162"/>
      <c r="D51" s="162"/>
      <c r="E51" s="162"/>
      <c r="F51" s="162"/>
      <c r="G51" s="163"/>
      <c r="H51" s="164"/>
      <c r="I51" s="165"/>
    </row>
    <row r="52" spans="1:9">
      <c r="A52" s="161"/>
      <c r="B52" s="162"/>
      <c r="C52" s="162"/>
      <c r="D52" s="162"/>
      <c r="E52" s="162"/>
      <c r="F52" s="162"/>
      <c r="G52" s="163"/>
      <c r="H52" s="164"/>
      <c r="I52" s="165"/>
    </row>
    <row r="53" spans="1:9">
      <c r="A53" s="161"/>
      <c r="B53" s="162"/>
      <c r="C53" s="162"/>
      <c r="D53" s="162"/>
      <c r="E53" s="162"/>
      <c r="F53" s="162"/>
      <c r="G53" s="163"/>
      <c r="H53" s="164"/>
      <c r="I53" s="165"/>
    </row>
    <row r="54" spans="1:9">
      <c r="A54" s="161"/>
      <c r="B54" s="162"/>
      <c r="C54" s="162"/>
      <c r="D54" s="162"/>
      <c r="E54" s="162"/>
      <c r="F54" s="162"/>
      <c r="G54" s="163"/>
      <c r="H54" s="164"/>
      <c r="I54" s="165"/>
    </row>
    <row r="55" spans="1:9">
      <c r="A55" s="161"/>
      <c r="B55" s="162"/>
      <c r="C55" s="162"/>
      <c r="D55" s="162"/>
      <c r="E55" s="162"/>
      <c r="F55" s="162"/>
      <c r="G55" s="163"/>
      <c r="H55" s="164"/>
      <c r="I55" s="165"/>
    </row>
    <row r="56" spans="1:9">
      <c r="A56" s="161"/>
      <c r="B56" s="162"/>
      <c r="C56" s="162"/>
      <c r="D56" s="162"/>
      <c r="E56" s="162"/>
      <c r="F56" s="162"/>
      <c r="G56" s="163"/>
      <c r="H56" s="164"/>
      <c r="I56" s="165"/>
    </row>
    <row r="57" spans="1:9">
      <c r="A57" s="161"/>
      <c r="B57" s="162"/>
      <c r="C57" s="162"/>
      <c r="D57" s="162"/>
      <c r="E57" s="162"/>
      <c r="F57" s="162"/>
      <c r="G57" s="163"/>
      <c r="H57" s="164"/>
      <c r="I57" s="165"/>
    </row>
    <row r="58" spans="1:9">
      <c r="A58" s="161"/>
      <c r="B58" s="162"/>
      <c r="C58" s="162"/>
      <c r="D58" s="162"/>
      <c r="E58" s="162"/>
      <c r="F58" s="162"/>
      <c r="G58" s="163"/>
      <c r="H58" s="164"/>
      <c r="I58" s="165"/>
    </row>
    <row r="59" spans="1:9">
      <c r="A59" s="161"/>
      <c r="B59" s="162"/>
      <c r="C59" s="162"/>
      <c r="D59" s="162"/>
      <c r="E59" s="162"/>
      <c r="F59" s="162"/>
      <c r="G59" s="163"/>
      <c r="H59" s="164"/>
      <c r="I59" s="165"/>
    </row>
    <row r="60" spans="1:9">
      <c r="A60" s="161"/>
      <c r="B60" s="162"/>
      <c r="C60" s="162"/>
      <c r="D60" s="162"/>
      <c r="E60" s="162"/>
      <c r="F60" s="162"/>
      <c r="G60" s="163"/>
      <c r="H60" s="164"/>
      <c r="I60" s="165"/>
    </row>
    <row r="61" spans="1:9">
      <c r="A61" s="161"/>
      <c r="B61" s="162"/>
      <c r="C61" s="162"/>
      <c r="D61" s="162"/>
      <c r="E61" s="162"/>
      <c r="F61" s="162"/>
      <c r="G61" s="163"/>
      <c r="H61" s="164"/>
      <c r="I61" s="165"/>
    </row>
    <row r="62" spans="1:9">
      <c r="A62" s="161"/>
      <c r="B62" s="162"/>
      <c r="C62" s="162"/>
      <c r="D62" s="162"/>
      <c r="E62" s="162"/>
      <c r="F62" s="162"/>
      <c r="G62" s="163"/>
      <c r="H62" s="164"/>
      <c r="I62" s="165"/>
    </row>
    <row r="63" spans="1:9">
      <c r="A63" s="161"/>
      <c r="B63" s="162"/>
      <c r="C63" s="162"/>
      <c r="D63" s="162"/>
      <c r="E63" s="162"/>
      <c r="F63" s="162"/>
      <c r="G63" s="163"/>
      <c r="H63" s="164"/>
      <c r="I63" s="165"/>
    </row>
    <row r="64" spans="1:9">
      <c r="A64" s="161"/>
      <c r="B64" s="162"/>
      <c r="C64" s="162"/>
      <c r="D64" s="162"/>
      <c r="E64" s="162"/>
      <c r="F64" s="162"/>
      <c r="G64" s="163"/>
      <c r="H64" s="164"/>
      <c r="I64" s="165"/>
    </row>
    <row r="65" spans="1:9">
      <c r="A65" s="161"/>
      <c r="B65" s="162"/>
      <c r="C65" s="162"/>
      <c r="D65" s="162"/>
      <c r="E65" s="162"/>
      <c r="F65" s="162"/>
      <c r="G65" s="163"/>
      <c r="H65" s="164"/>
      <c r="I65" s="165"/>
    </row>
    <row r="66" spans="1:9">
      <c r="A66" s="161"/>
      <c r="B66" s="162"/>
      <c r="C66" s="162"/>
      <c r="D66" s="162"/>
      <c r="E66" s="162"/>
      <c r="F66" s="162"/>
      <c r="G66" s="163"/>
      <c r="H66" s="164"/>
      <c r="I66" s="165"/>
    </row>
    <row r="67" spans="1:9">
      <c r="A67" s="161"/>
      <c r="B67" s="162"/>
      <c r="C67" s="162"/>
      <c r="D67" s="162"/>
      <c r="E67" s="162"/>
      <c r="F67" s="162"/>
      <c r="G67" s="163"/>
      <c r="H67" s="164"/>
      <c r="I67" s="165"/>
    </row>
    <row r="68" spans="1:9">
      <c r="A68" s="161"/>
      <c r="B68" s="162"/>
      <c r="C68" s="162"/>
      <c r="D68" s="162"/>
      <c r="E68" s="162"/>
      <c r="F68" s="162"/>
      <c r="G68" s="163"/>
      <c r="H68" s="164"/>
      <c r="I68" s="165"/>
    </row>
    <row r="69" spans="1:9">
      <c r="A69" s="161"/>
      <c r="B69" s="162"/>
      <c r="C69" s="162"/>
      <c r="D69" s="162"/>
      <c r="E69" s="162"/>
      <c r="F69" s="162"/>
      <c r="G69" s="163"/>
      <c r="H69" s="164"/>
      <c r="I69" s="165"/>
    </row>
    <row r="70" spans="1:9">
      <c r="A70" s="161"/>
      <c r="B70" s="162"/>
      <c r="C70" s="162"/>
      <c r="D70" s="162"/>
      <c r="E70" s="162"/>
      <c r="F70" s="162"/>
      <c r="G70" s="163"/>
      <c r="H70" s="164"/>
      <c r="I70" s="165"/>
    </row>
    <row r="71" spans="1:9">
      <c r="A71" s="161"/>
      <c r="B71" s="162"/>
      <c r="C71" s="162"/>
      <c r="D71" s="162"/>
      <c r="E71" s="162"/>
      <c r="F71" s="162"/>
      <c r="G71" s="163"/>
      <c r="H71" s="164"/>
      <c r="I71" s="165"/>
    </row>
    <row r="72" spans="1:9">
      <c r="A72" s="161"/>
      <c r="B72" s="162"/>
      <c r="C72" s="162"/>
      <c r="D72" s="162"/>
      <c r="E72" s="162"/>
      <c r="F72" s="162"/>
      <c r="G72" s="163"/>
      <c r="H72" s="164"/>
      <c r="I72" s="165"/>
    </row>
    <row r="73" spans="1:9">
      <c r="A73" s="161"/>
      <c r="B73" s="162"/>
      <c r="C73" s="162"/>
      <c r="D73" s="162"/>
      <c r="E73" s="162"/>
      <c r="F73" s="162"/>
      <c r="G73" s="163"/>
      <c r="H73" s="164"/>
      <c r="I73" s="165"/>
    </row>
    <row r="74" spans="1:9">
      <c r="A74" s="161"/>
      <c r="B74" s="162"/>
      <c r="C74" s="162"/>
      <c r="D74" s="162"/>
      <c r="E74" s="162"/>
      <c r="F74" s="162"/>
      <c r="G74" s="163"/>
      <c r="H74" s="164"/>
      <c r="I74" s="165"/>
    </row>
    <row r="75" spans="1:9">
      <c r="A75" s="161"/>
      <c r="B75" s="162"/>
      <c r="C75" s="162"/>
      <c r="D75" s="162"/>
      <c r="E75" s="162"/>
      <c r="F75" s="162"/>
      <c r="G75" s="163"/>
      <c r="H75" s="164"/>
      <c r="I75" s="165"/>
    </row>
    <row r="76" spans="1:9">
      <c r="A76" s="161"/>
      <c r="B76" s="162"/>
      <c r="C76" s="162"/>
      <c r="D76" s="162"/>
      <c r="E76" s="162"/>
      <c r="F76" s="162"/>
      <c r="G76" s="163"/>
      <c r="H76" s="164"/>
      <c r="I76" s="165"/>
    </row>
    <row r="77" spans="1:9">
      <c r="A77" s="161"/>
      <c r="B77" s="162"/>
      <c r="C77" s="162"/>
      <c r="D77" s="162"/>
      <c r="E77" s="162"/>
      <c r="F77" s="162"/>
      <c r="G77" s="163"/>
      <c r="H77" s="164"/>
      <c r="I77" s="165"/>
    </row>
    <row r="78" spans="1:9">
      <c r="A78" s="161"/>
      <c r="B78" s="162"/>
      <c r="C78" s="162"/>
      <c r="D78" s="162"/>
      <c r="E78" s="162"/>
      <c r="F78" s="162"/>
      <c r="G78" s="163"/>
      <c r="H78" s="164"/>
      <c r="I78" s="165"/>
    </row>
    <row r="79" spans="1:9">
      <c r="A79" s="161"/>
      <c r="B79" s="162"/>
      <c r="C79" s="162"/>
      <c r="D79" s="162"/>
      <c r="E79" s="162"/>
      <c r="F79" s="162"/>
      <c r="G79" s="163"/>
      <c r="H79" s="164"/>
      <c r="I79" s="165"/>
    </row>
    <row r="80" spans="1:9">
      <c r="A80" s="161"/>
      <c r="B80" s="162"/>
      <c r="C80" s="162"/>
      <c r="D80" s="162"/>
      <c r="E80" s="162"/>
      <c r="F80" s="162"/>
      <c r="G80" s="163"/>
      <c r="H80" s="164"/>
      <c r="I80" s="165"/>
    </row>
    <row r="81" spans="1:9">
      <c r="A81" s="161"/>
      <c r="B81" s="162"/>
      <c r="C81" s="162"/>
      <c r="D81" s="162"/>
      <c r="E81" s="162"/>
      <c r="F81" s="162"/>
      <c r="G81" s="163"/>
      <c r="H81" s="164"/>
      <c r="I81" s="165"/>
    </row>
    <row r="82" spans="1:9">
      <c r="A82" s="161"/>
      <c r="B82" s="162"/>
      <c r="C82" s="162"/>
      <c r="D82" s="162"/>
      <c r="E82" s="162"/>
      <c r="F82" s="162"/>
      <c r="G82" s="163"/>
      <c r="H82" s="164"/>
      <c r="I82" s="165"/>
    </row>
    <row r="83" spans="1:9">
      <c r="A83" s="161"/>
      <c r="B83" s="162"/>
      <c r="C83" s="162"/>
      <c r="D83" s="162"/>
      <c r="E83" s="162"/>
      <c r="F83" s="162"/>
      <c r="G83" s="163"/>
      <c r="H83" s="164"/>
      <c r="I83" s="165"/>
    </row>
    <row r="84" spans="1:9">
      <c r="A84" s="161"/>
      <c r="B84" s="162"/>
      <c r="C84" s="162"/>
      <c r="D84" s="162"/>
      <c r="E84" s="162"/>
      <c r="F84" s="162"/>
      <c r="G84" s="163"/>
      <c r="H84" s="164"/>
      <c r="I84" s="165"/>
    </row>
    <row r="85" spans="1:9">
      <c r="A85" s="161"/>
      <c r="B85" s="162"/>
      <c r="C85" s="162"/>
      <c r="D85" s="162"/>
      <c r="E85" s="162"/>
      <c r="F85" s="162"/>
      <c r="G85" s="163"/>
      <c r="H85" s="164"/>
      <c r="I85" s="165"/>
    </row>
    <row r="86" spans="1:9">
      <c r="A86" s="161"/>
      <c r="B86" s="162"/>
      <c r="C86" s="162"/>
      <c r="D86" s="162"/>
      <c r="E86" s="162"/>
      <c r="F86" s="162"/>
      <c r="G86" s="163"/>
      <c r="H86" s="164"/>
      <c r="I86" s="165"/>
    </row>
    <row r="87" spans="1:9">
      <c r="A87" s="161"/>
      <c r="B87" s="162"/>
      <c r="C87" s="162"/>
      <c r="D87" s="162"/>
      <c r="E87" s="162"/>
      <c r="F87" s="162"/>
      <c r="G87" s="163"/>
      <c r="H87" s="164"/>
      <c r="I87" s="165"/>
    </row>
    <row r="88" spans="1:9">
      <c r="A88" s="161"/>
      <c r="B88" s="162"/>
      <c r="C88" s="162"/>
      <c r="D88" s="162"/>
      <c r="E88" s="162"/>
      <c r="F88" s="162"/>
      <c r="G88" s="163"/>
      <c r="H88" s="164"/>
      <c r="I88" s="165"/>
    </row>
    <row r="89" spans="1:9">
      <c r="A89" s="161"/>
      <c r="B89" s="162"/>
      <c r="C89" s="162"/>
      <c r="D89" s="162"/>
      <c r="E89" s="162"/>
      <c r="F89" s="162"/>
      <c r="G89" s="163"/>
      <c r="H89" s="164"/>
      <c r="I89" s="165"/>
    </row>
    <row r="90" spans="1:9">
      <c r="A90" s="161"/>
      <c r="B90" s="162"/>
      <c r="C90" s="162"/>
      <c r="D90" s="162"/>
      <c r="E90" s="162"/>
      <c r="F90" s="162"/>
      <c r="G90" s="163"/>
      <c r="H90" s="164"/>
      <c r="I90" s="165"/>
    </row>
    <row r="91" spans="1:9">
      <c r="A91" s="161"/>
      <c r="B91" s="162"/>
      <c r="C91" s="162"/>
      <c r="D91" s="162"/>
      <c r="E91" s="162"/>
      <c r="F91" s="162"/>
      <c r="G91" s="163"/>
      <c r="H91" s="164"/>
      <c r="I91" s="165"/>
    </row>
    <row r="92" spans="1:9">
      <c r="A92" s="161"/>
      <c r="B92" s="162"/>
      <c r="C92" s="162"/>
      <c r="D92" s="162"/>
      <c r="E92" s="162"/>
      <c r="F92" s="162"/>
      <c r="G92" s="163"/>
      <c r="H92" s="164"/>
      <c r="I92" s="165"/>
    </row>
    <row r="93" spans="1:9">
      <c r="A93" s="161"/>
      <c r="B93" s="162"/>
      <c r="C93" s="162"/>
      <c r="D93" s="162"/>
      <c r="E93" s="162"/>
      <c r="F93" s="162"/>
      <c r="G93" s="163"/>
      <c r="H93" s="164"/>
      <c r="I93" s="165"/>
    </row>
    <row r="94" spans="1:9">
      <c r="A94" s="161"/>
      <c r="B94" s="162"/>
      <c r="C94" s="162"/>
      <c r="D94" s="162"/>
      <c r="E94" s="162"/>
      <c r="F94" s="162"/>
      <c r="G94" s="163"/>
      <c r="H94" s="164"/>
      <c r="I94" s="165"/>
    </row>
    <row r="95" spans="1:9">
      <c r="A95" s="161"/>
      <c r="B95" s="162"/>
      <c r="C95" s="162"/>
      <c r="D95" s="162"/>
      <c r="E95" s="162"/>
      <c r="F95" s="162"/>
      <c r="G95" s="163"/>
      <c r="H95" s="164"/>
      <c r="I95" s="165"/>
    </row>
    <row r="96" spans="1:9">
      <c r="A96" s="161"/>
      <c r="B96" s="162"/>
      <c r="C96" s="162"/>
      <c r="D96" s="162"/>
      <c r="E96" s="162"/>
      <c r="F96" s="162"/>
      <c r="G96" s="163"/>
      <c r="H96" s="164"/>
      <c r="I96" s="165"/>
    </row>
    <row r="97" spans="1:9">
      <c r="A97" s="161"/>
      <c r="B97" s="162"/>
      <c r="C97" s="162"/>
      <c r="D97" s="162"/>
      <c r="E97" s="162"/>
      <c r="F97" s="162"/>
      <c r="G97" s="163"/>
      <c r="H97" s="164"/>
      <c r="I97" s="165"/>
    </row>
    <row r="98" spans="1:9">
      <c r="A98" s="161"/>
      <c r="B98" s="162"/>
      <c r="C98" s="162"/>
      <c r="D98" s="162"/>
      <c r="E98" s="162"/>
      <c r="F98" s="162"/>
      <c r="G98" s="163"/>
      <c r="H98" s="164"/>
      <c r="I98" s="165"/>
    </row>
    <row r="99" spans="1:9">
      <c r="A99" s="161"/>
      <c r="B99" s="162"/>
      <c r="C99" s="162"/>
      <c r="D99" s="162"/>
      <c r="E99" s="162"/>
      <c r="F99" s="162"/>
      <c r="G99" s="163"/>
      <c r="H99" s="164"/>
      <c r="I99" s="165"/>
    </row>
    <row r="100" spans="1:9">
      <c r="A100" s="161"/>
      <c r="B100" s="162"/>
      <c r="C100" s="162"/>
      <c r="D100" s="162"/>
      <c r="E100" s="162"/>
      <c r="F100" s="162"/>
      <c r="G100" s="163"/>
      <c r="H100" s="164"/>
      <c r="I100" s="165"/>
    </row>
    <row r="101" spans="1:9">
      <c r="A101" s="161"/>
      <c r="B101" s="162"/>
      <c r="C101" s="162"/>
      <c r="D101" s="162"/>
      <c r="E101" s="162"/>
      <c r="F101" s="162"/>
      <c r="G101" s="163"/>
      <c r="H101" s="164"/>
      <c r="I101" s="165"/>
    </row>
    <row r="102" spans="1:9">
      <c r="A102" s="161"/>
      <c r="B102" s="162"/>
      <c r="C102" s="162"/>
      <c r="D102" s="162"/>
      <c r="E102" s="162"/>
      <c r="F102" s="162"/>
      <c r="G102" s="163"/>
      <c r="H102" s="164"/>
      <c r="I102" s="165"/>
    </row>
    <row r="103" spans="1:9">
      <c r="A103" s="161"/>
      <c r="B103" s="162"/>
      <c r="C103" s="162"/>
      <c r="D103" s="162"/>
      <c r="E103" s="162"/>
      <c r="F103" s="162"/>
      <c r="G103" s="163"/>
      <c r="H103" s="164"/>
      <c r="I103" s="165"/>
    </row>
    <row r="104" spans="1:9">
      <c r="A104" s="161"/>
      <c r="B104" s="162"/>
      <c r="C104" s="162"/>
      <c r="D104" s="162"/>
      <c r="E104" s="162"/>
      <c r="F104" s="162"/>
      <c r="G104" s="163"/>
      <c r="H104" s="164"/>
      <c r="I104" s="165"/>
    </row>
    <row r="105" spans="1:9">
      <c r="A105" s="161"/>
      <c r="B105" s="162"/>
      <c r="C105" s="162"/>
      <c r="D105" s="162"/>
      <c r="E105" s="162"/>
      <c r="F105" s="162"/>
      <c r="G105" s="163"/>
      <c r="H105" s="164"/>
      <c r="I105" s="165"/>
    </row>
    <row r="106" spans="1:9">
      <c r="A106" s="161"/>
      <c r="B106" s="162"/>
      <c r="C106" s="162"/>
      <c r="D106" s="162"/>
      <c r="E106" s="162"/>
      <c r="F106" s="162"/>
      <c r="G106" s="163"/>
      <c r="H106" s="164"/>
      <c r="I106" s="165"/>
    </row>
    <row r="107" spans="1:9">
      <c r="A107" s="161"/>
      <c r="B107" s="162"/>
      <c r="C107" s="162"/>
      <c r="D107" s="162"/>
      <c r="E107" s="162"/>
      <c r="F107" s="162"/>
      <c r="G107" s="163"/>
      <c r="H107" s="164"/>
      <c r="I107" s="165"/>
    </row>
    <row r="108" spans="1:9">
      <c r="A108" s="161"/>
      <c r="B108" s="162"/>
      <c r="C108" s="162"/>
      <c r="D108" s="162"/>
      <c r="E108" s="162"/>
      <c r="F108" s="162"/>
      <c r="G108" s="163"/>
      <c r="H108" s="164"/>
      <c r="I108" s="165"/>
    </row>
    <row r="109" spans="1:9">
      <c r="A109" s="161"/>
      <c r="B109" s="162"/>
      <c r="C109" s="162"/>
      <c r="D109" s="162"/>
      <c r="E109" s="162"/>
      <c r="F109" s="162"/>
      <c r="G109" s="163"/>
      <c r="H109" s="164"/>
      <c r="I109" s="165"/>
    </row>
    <row r="110" spans="1:9">
      <c r="A110" s="161"/>
      <c r="B110" s="162"/>
      <c r="C110" s="162"/>
      <c r="D110" s="162"/>
      <c r="E110" s="162"/>
      <c r="F110" s="162"/>
      <c r="G110" s="163"/>
      <c r="H110" s="164"/>
      <c r="I110" s="165"/>
    </row>
    <row r="111" spans="1:9">
      <c r="A111" s="161"/>
      <c r="B111" s="162"/>
      <c r="C111" s="162"/>
      <c r="D111" s="162"/>
      <c r="E111" s="162"/>
      <c r="F111" s="162"/>
      <c r="G111" s="163"/>
      <c r="H111" s="164"/>
      <c r="I111" s="165"/>
    </row>
    <row r="112" spans="1:9">
      <c r="A112" s="161"/>
      <c r="B112" s="162"/>
      <c r="C112" s="162"/>
      <c r="D112" s="162"/>
      <c r="E112" s="162"/>
      <c r="F112" s="162"/>
      <c r="G112" s="163"/>
      <c r="H112" s="164"/>
      <c r="I112" s="165"/>
    </row>
    <row r="113" spans="1:9">
      <c r="A113" s="161"/>
      <c r="B113" s="162"/>
      <c r="C113" s="162"/>
      <c r="D113" s="162"/>
      <c r="E113" s="162"/>
      <c r="F113" s="162"/>
      <c r="G113" s="163"/>
      <c r="H113" s="164"/>
      <c r="I113" s="165"/>
    </row>
    <row r="114" spans="1:9">
      <c r="A114" s="161"/>
      <c r="B114" s="162"/>
      <c r="C114" s="162"/>
      <c r="D114" s="162"/>
      <c r="E114" s="162"/>
      <c r="F114" s="162"/>
      <c r="G114" s="163"/>
      <c r="H114" s="164"/>
      <c r="I114" s="165"/>
    </row>
    <row r="115" spans="1:9">
      <c r="A115" s="161"/>
      <c r="B115" s="162"/>
      <c r="C115" s="162"/>
      <c r="D115" s="162"/>
      <c r="E115" s="162"/>
      <c r="F115" s="162"/>
      <c r="G115" s="163"/>
      <c r="H115" s="164"/>
      <c r="I115" s="165"/>
    </row>
    <row r="116" spans="1:9">
      <c r="A116" s="161"/>
      <c r="B116" s="162"/>
      <c r="C116" s="162"/>
      <c r="D116" s="162"/>
      <c r="E116" s="162"/>
      <c r="F116" s="162"/>
      <c r="G116" s="163"/>
      <c r="H116" s="164"/>
      <c r="I116" s="165"/>
    </row>
    <row r="117" spans="1:9">
      <c r="A117" s="161"/>
      <c r="B117" s="162"/>
      <c r="C117" s="162"/>
      <c r="D117" s="162"/>
      <c r="E117" s="162"/>
      <c r="F117" s="162"/>
      <c r="G117" s="163"/>
      <c r="H117" s="164"/>
      <c r="I117" s="165"/>
    </row>
    <row r="118" spans="1:9">
      <c r="A118" s="161"/>
      <c r="B118" s="162"/>
      <c r="C118" s="162"/>
      <c r="D118" s="162"/>
      <c r="E118" s="162"/>
      <c r="F118" s="162"/>
      <c r="G118" s="163"/>
      <c r="H118" s="164"/>
      <c r="I118" s="165"/>
    </row>
    <row r="119" spans="1:9">
      <c r="A119" s="161"/>
      <c r="B119" s="162"/>
      <c r="C119" s="162"/>
      <c r="D119" s="162"/>
      <c r="E119" s="162"/>
      <c r="F119" s="162"/>
      <c r="G119" s="163"/>
      <c r="H119" s="164"/>
      <c r="I119" s="165"/>
    </row>
    <row r="120" spans="1:9">
      <c r="A120" s="161"/>
      <c r="B120" s="162"/>
      <c r="C120" s="162"/>
      <c r="D120" s="162"/>
      <c r="E120" s="162"/>
      <c r="F120" s="162"/>
      <c r="G120" s="163"/>
      <c r="H120" s="164"/>
      <c r="I120" s="165"/>
    </row>
    <row r="121" spans="1:9">
      <c r="A121" s="161"/>
      <c r="B121" s="162"/>
      <c r="C121" s="162"/>
      <c r="D121" s="162"/>
      <c r="E121" s="162"/>
      <c r="F121" s="162"/>
      <c r="G121" s="163"/>
      <c r="H121" s="164"/>
      <c r="I121" s="165"/>
    </row>
    <row r="122" spans="1:9">
      <c r="A122" s="161"/>
      <c r="B122" s="162"/>
      <c r="C122" s="162"/>
      <c r="D122" s="162"/>
      <c r="E122" s="162"/>
      <c r="F122" s="162"/>
      <c r="G122" s="163"/>
      <c r="H122" s="164"/>
      <c r="I122" s="165"/>
    </row>
    <row r="123" spans="1:9">
      <c r="A123" s="161"/>
      <c r="B123" s="162"/>
      <c r="C123" s="162"/>
      <c r="D123" s="162"/>
      <c r="E123" s="162"/>
      <c r="F123" s="162"/>
      <c r="G123" s="163"/>
      <c r="H123" s="164"/>
      <c r="I123" s="165"/>
    </row>
    <row r="124" spans="1:9">
      <c r="A124" s="161"/>
      <c r="B124" s="162"/>
      <c r="C124" s="162"/>
      <c r="D124" s="162"/>
      <c r="E124" s="162"/>
      <c r="F124" s="162"/>
      <c r="G124" s="163"/>
      <c r="H124" s="164"/>
      <c r="I124" s="165"/>
    </row>
    <row r="125" spans="1:9">
      <c r="A125" s="161"/>
      <c r="B125" s="162"/>
      <c r="C125" s="162"/>
      <c r="D125" s="162"/>
      <c r="E125" s="162"/>
      <c r="F125" s="162"/>
      <c r="G125" s="163"/>
      <c r="H125" s="164"/>
      <c r="I125" s="165"/>
    </row>
    <row r="126" spans="1:9">
      <c r="A126" s="161"/>
      <c r="B126" s="162"/>
      <c r="C126" s="162"/>
      <c r="D126" s="162"/>
      <c r="E126" s="162"/>
      <c r="F126" s="162"/>
      <c r="G126" s="163"/>
      <c r="H126" s="164"/>
      <c r="I126" s="165"/>
    </row>
    <row r="127" spans="1:9">
      <c r="A127" s="161"/>
      <c r="B127" s="162"/>
      <c r="C127" s="162"/>
      <c r="D127" s="162"/>
      <c r="E127" s="162"/>
      <c r="F127" s="162"/>
      <c r="G127" s="163"/>
      <c r="H127" s="164"/>
      <c r="I127" s="165"/>
    </row>
    <row r="128" spans="1:9">
      <c r="A128" s="161"/>
      <c r="B128" s="162"/>
      <c r="C128" s="162"/>
      <c r="D128" s="162"/>
      <c r="E128" s="162"/>
      <c r="F128" s="162"/>
      <c r="G128" s="163"/>
      <c r="H128" s="164"/>
      <c r="I128" s="165"/>
    </row>
    <row r="129" spans="1:9">
      <c r="A129" s="161"/>
      <c r="B129" s="162"/>
      <c r="C129" s="162"/>
      <c r="D129" s="162"/>
      <c r="E129" s="162"/>
      <c r="F129" s="162"/>
      <c r="G129" s="163"/>
      <c r="H129" s="164"/>
      <c r="I129" s="165"/>
    </row>
    <row r="130" spans="1:9">
      <c r="A130" s="161"/>
      <c r="B130" s="162"/>
      <c r="C130" s="162"/>
      <c r="D130" s="162"/>
      <c r="E130" s="162"/>
      <c r="F130" s="162"/>
      <c r="G130" s="163"/>
      <c r="H130" s="164"/>
      <c r="I130" s="165"/>
    </row>
    <row r="131" spans="1:9">
      <c r="A131" s="161"/>
      <c r="B131" s="162"/>
      <c r="C131" s="162"/>
      <c r="D131" s="162"/>
      <c r="E131" s="162"/>
      <c r="F131" s="162"/>
      <c r="G131" s="163"/>
      <c r="H131" s="164"/>
      <c r="I131" s="165"/>
    </row>
    <row r="132" spans="1:9">
      <c r="A132" s="161"/>
      <c r="B132" s="162"/>
      <c r="C132" s="162"/>
      <c r="D132" s="162"/>
      <c r="E132" s="162"/>
      <c r="F132" s="162"/>
      <c r="G132" s="163"/>
      <c r="H132" s="164"/>
      <c r="I132" s="165"/>
    </row>
    <row r="133" spans="1:9">
      <c r="A133" s="161"/>
      <c r="B133" s="162"/>
      <c r="C133" s="162"/>
      <c r="D133" s="162"/>
      <c r="E133" s="162"/>
      <c r="F133" s="162"/>
      <c r="G133" s="163"/>
      <c r="H133" s="164"/>
      <c r="I133" s="165"/>
    </row>
    <row r="134" spans="1:9">
      <c r="A134" s="161"/>
      <c r="B134" s="162"/>
      <c r="C134" s="162"/>
      <c r="D134" s="162"/>
      <c r="E134" s="162"/>
      <c r="F134" s="162"/>
      <c r="G134" s="163"/>
      <c r="H134" s="164"/>
      <c r="I134" s="165"/>
    </row>
    <row r="135" spans="1:9">
      <c r="A135" s="161"/>
      <c r="B135" s="162"/>
      <c r="C135" s="162"/>
      <c r="D135" s="162"/>
      <c r="E135" s="162"/>
      <c r="F135" s="162"/>
      <c r="G135" s="163"/>
      <c r="H135" s="164"/>
      <c r="I135" s="165"/>
    </row>
    <row r="136" spans="1:9">
      <c r="A136" s="161"/>
      <c r="B136" s="162"/>
      <c r="C136" s="162"/>
      <c r="D136" s="162"/>
      <c r="E136" s="162"/>
      <c r="F136" s="162"/>
      <c r="G136" s="163"/>
      <c r="H136" s="164"/>
      <c r="I136" s="165"/>
    </row>
    <row r="137" spans="1:9">
      <c r="A137" s="161"/>
      <c r="B137" s="162"/>
      <c r="C137" s="162"/>
      <c r="D137" s="162"/>
      <c r="E137" s="162"/>
      <c r="F137" s="162"/>
      <c r="G137" s="163"/>
      <c r="H137" s="164"/>
      <c r="I137" s="165"/>
    </row>
    <row r="138" spans="1:9">
      <c r="A138" s="161"/>
      <c r="B138" s="162"/>
      <c r="C138" s="162"/>
      <c r="D138" s="162"/>
      <c r="E138" s="162"/>
      <c r="F138" s="162"/>
      <c r="G138" s="163"/>
      <c r="H138" s="164"/>
      <c r="I138" s="165"/>
    </row>
    <row r="139" spans="1:9">
      <c r="A139" s="161"/>
      <c r="B139" s="162"/>
      <c r="C139" s="162"/>
      <c r="D139" s="162"/>
      <c r="E139" s="162"/>
      <c r="F139" s="162"/>
      <c r="G139" s="163"/>
      <c r="H139" s="164"/>
      <c r="I139" s="165"/>
    </row>
    <row r="140" spans="1:9">
      <c r="A140" s="161"/>
      <c r="B140" s="162"/>
      <c r="C140" s="162"/>
      <c r="D140" s="162"/>
      <c r="E140" s="162"/>
      <c r="F140" s="162"/>
      <c r="G140" s="163"/>
      <c r="H140" s="164"/>
      <c r="I140" s="165"/>
    </row>
    <row r="141" spans="1:9">
      <c r="A141" s="161"/>
      <c r="B141" s="162"/>
      <c r="C141" s="162"/>
      <c r="D141" s="162"/>
      <c r="E141" s="162"/>
      <c r="F141" s="162"/>
      <c r="G141" s="163"/>
      <c r="H141" s="164"/>
      <c r="I141" s="165"/>
    </row>
    <row r="142" spans="1:9">
      <c r="A142" s="161"/>
      <c r="B142" s="162"/>
      <c r="C142" s="162"/>
      <c r="D142" s="162"/>
      <c r="E142" s="162"/>
      <c r="F142" s="162"/>
      <c r="G142" s="163"/>
      <c r="H142" s="164"/>
      <c r="I142" s="165"/>
    </row>
    <row r="143" spans="1:9">
      <c r="A143" s="161"/>
      <c r="B143" s="162"/>
      <c r="C143" s="162"/>
      <c r="D143" s="162"/>
      <c r="E143" s="162"/>
      <c r="F143" s="162"/>
      <c r="G143" s="163"/>
      <c r="H143" s="164"/>
      <c r="I143" s="165"/>
    </row>
    <row r="144" spans="1:9">
      <c r="A144" s="161"/>
      <c r="B144" s="162"/>
      <c r="C144" s="162"/>
      <c r="D144" s="162"/>
      <c r="E144" s="162"/>
      <c r="F144" s="162"/>
      <c r="G144" s="163"/>
      <c r="H144" s="164"/>
      <c r="I144" s="165"/>
    </row>
    <row r="145" spans="1:9">
      <c r="A145" s="161"/>
      <c r="B145" s="162"/>
      <c r="C145" s="162"/>
      <c r="D145" s="162"/>
      <c r="E145" s="162"/>
      <c r="F145" s="162"/>
      <c r="G145" s="163"/>
      <c r="H145" s="164"/>
      <c r="I145" s="165"/>
    </row>
    <row r="146" spans="1:9">
      <c r="A146" s="161"/>
      <c r="B146" s="162"/>
      <c r="C146" s="162"/>
      <c r="D146" s="162"/>
      <c r="E146" s="162"/>
      <c r="F146" s="162"/>
      <c r="G146" s="163"/>
      <c r="H146" s="164"/>
      <c r="I146" s="165"/>
    </row>
    <row r="147" spans="1:9">
      <c r="A147" s="161"/>
      <c r="B147" s="162"/>
      <c r="C147" s="162"/>
      <c r="D147" s="162"/>
      <c r="E147" s="162"/>
      <c r="F147" s="162"/>
      <c r="G147" s="163"/>
      <c r="H147" s="164"/>
      <c r="I147" s="165"/>
    </row>
    <row r="148" spans="1:9">
      <c r="A148" s="161"/>
      <c r="B148" s="162"/>
      <c r="C148" s="162"/>
      <c r="D148" s="162"/>
      <c r="E148" s="162"/>
      <c r="F148" s="162"/>
      <c r="G148" s="163"/>
      <c r="H148" s="164"/>
      <c r="I148" s="165"/>
    </row>
    <row r="149" spans="1:9">
      <c r="A149" s="161"/>
      <c r="B149" s="162"/>
      <c r="C149" s="162"/>
      <c r="D149" s="162"/>
      <c r="E149" s="162"/>
      <c r="F149" s="162"/>
      <c r="G149" s="163"/>
      <c r="H149" s="164"/>
      <c r="I149" s="165"/>
    </row>
    <row r="150" spans="1:9">
      <c r="A150" s="161"/>
      <c r="B150" s="162"/>
      <c r="C150" s="162"/>
      <c r="D150" s="162"/>
      <c r="E150" s="162"/>
      <c r="F150" s="162"/>
      <c r="G150" s="163"/>
      <c r="H150" s="164"/>
      <c r="I150" s="165"/>
    </row>
    <row r="151" spans="1:9">
      <c r="A151" s="161"/>
      <c r="B151" s="162"/>
      <c r="C151" s="162"/>
      <c r="D151" s="162"/>
      <c r="E151" s="162"/>
      <c r="F151" s="162"/>
      <c r="G151" s="163"/>
      <c r="H151" s="164"/>
      <c r="I151" s="165"/>
    </row>
    <row r="152" spans="1:9">
      <c r="A152" s="161"/>
      <c r="B152" s="162"/>
      <c r="C152" s="162"/>
      <c r="D152" s="162"/>
      <c r="E152" s="162"/>
      <c r="F152" s="162"/>
      <c r="G152" s="163"/>
      <c r="H152" s="164"/>
      <c r="I152" s="165"/>
    </row>
    <row r="153" spans="1:9">
      <c r="A153" s="161"/>
      <c r="B153" s="162"/>
      <c r="C153" s="162"/>
      <c r="D153" s="162"/>
      <c r="E153" s="162"/>
      <c r="F153" s="162"/>
      <c r="G153" s="163"/>
      <c r="H153" s="164"/>
      <c r="I153" s="165"/>
    </row>
    <row r="154" spans="1:9">
      <c r="A154" s="161"/>
      <c r="B154" s="162"/>
      <c r="C154" s="162"/>
      <c r="D154" s="162"/>
      <c r="E154" s="162"/>
      <c r="F154" s="162"/>
      <c r="G154" s="163"/>
      <c r="H154" s="164"/>
      <c r="I154" s="165"/>
    </row>
    <row r="155" spans="1:9">
      <c r="A155" s="161"/>
      <c r="B155" s="162"/>
      <c r="C155" s="162"/>
      <c r="D155" s="162"/>
      <c r="E155" s="162"/>
      <c r="F155" s="162"/>
      <c r="G155" s="163"/>
      <c r="H155" s="164"/>
      <c r="I155" s="165"/>
    </row>
    <row r="156" spans="1:9">
      <c r="A156" s="161"/>
      <c r="B156" s="162"/>
      <c r="C156" s="162"/>
      <c r="D156" s="162"/>
      <c r="E156" s="162"/>
      <c r="F156" s="162"/>
      <c r="G156" s="163"/>
      <c r="H156" s="164"/>
      <c r="I156" s="165"/>
    </row>
    <row r="157" spans="1:9">
      <c r="A157" s="161"/>
      <c r="B157" s="162"/>
      <c r="C157" s="162"/>
      <c r="D157" s="162"/>
      <c r="E157" s="162"/>
      <c r="F157" s="162"/>
      <c r="G157" s="163"/>
      <c r="H157" s="164"/>
      <c r="I157" s="165"/>
    </row>
    <row r="158" spans="1:9">
      <c r="A158" s="161"/>
      <c r="B158" s="162"/>
      <c r="C158" s="162"/>
      <c r="D158" s="162"/>
      <c r="E158" s="162"/>
      <c r="F158" s="162"/>
      <c r="G158" s="163"/>
      <c r="H158" s="164"/>
      <c r="I158" s="165"/>
    </row>
    <row r="159" spans="1:9">
      <c r="A159" s="161"/>
      <c r="B159" s="162"/>
      <c r="C159" s="162"/>
      <c r="D159" s="162"/>
      <c r="E159" s="162"/>
      <c r="F159" s="162"/>
      <c r="G159" s="163"/>
      <c r="H159" s="164"/>
      <c r="I159" s="165"/>
    </row>
    <row r="160" spans="1:9">
      <c r="A160" s="161"/>
      <c r="B160" s="162"/>
      <c r="C160" s="162"/>
      <c r="D160" s="162"/>
      <c r="E160" s="162"/>
      <c r="F160" s="162"/>
      <c r="G160" s="163"/>
      <c r="H160" s="164"/>
      <c r="I160" s="165"/>
    </row>
    <row r="161" spans="1:9">
      <c r="A161" s="161"/>
      <c r="B161" s="162"/>
      <c r="C161" s="162"/>
      <c r="D161" s="162"/>
      <c r="E161" s="162"/>
      <c r="F161" s="162"/>
      <c r="G161" s="163"/>
      <c r="H161" s="164"/>
      <c r="I161" s="165"/>
    </row>
    <row r="162" spans="1:9">
      <c r="A162" s="161"/>
      <c r="B162" s="162"/>
      <c r="C162" s="162"/>
      <c r="D162" s="162"/>
      <c r="E162" s="162"/>
      <c r="F162" s="162"/>
      <c r="G162" s="163"/>
      <c r="H162" s="164"/>
      <c r="I162" s="165"/>
    </row>
    <row r="163" spans="1:9">
      <c r="A163" s="161"/>
      <c r="B163" s="162"/>
      <c r="C163" s="162"/>
      <c r="D163" s="162"/>
      <c r="E163" s="162"/>
      <c r="F163" s="162"/>
      <c r="G163" s="163"/>
      <c r="H163" s="164"/>
      <c r="I163" s="165"/>
    </row>
    <row r="164" spans="1:9">
      <c r="A164" s="161"/>
      <c r="B164" s="162"/>
      <c r="C164" s="162"/>
      <c r="D164" s="162"/>
      <c r="E164" s="162"/>
      <c r="F164" s="162"/>
      <c r="G164" s="163"/>
      <c r="H164" s="164"/>
      <c r="I164" s="165"/>
    </row>
    <row r="165" spans="1:9">
      <c r="A165" s="161"/>
      <c r="B165" s="162"/>
      <c r="C165" s="162"/>
      <c r="D165" s="162"/>
      <c r="E165" s="162"/>
      <c r="F165" s="162"/>
      <c r="G165" s="163"/>
      <c r="H165" s="164"/>
      <c r="I165" s="165"/>
    </row>
    <row r="166" spans="1:9">
      <c r="A166" s="161"/>
      <c r="B166" s="162"/>
      <c r="C166" s="162"/>
      <c r="D166" s="162"/>
      <c r="E166" s="162"/>
      <c r="F166" s="162"/>
      <c r="G166" s="163"/>
      <c r="H166" s="164"/>
      <c r="I166" s="165"/>
    </row>
    <row r="167" spans="1:9">
      <c r="A167" s="161"/>
      <c r="B167" s="162"/>
      <c r="C167" s="162"/>
      <c r="D167" s="162"/>
      <c r="E167" s="162"/>
      <c r="F167" s="162"/>
      <c r="G167" s="163"/>
      <c r="H167" s="164"/>
      <c r="I167" s="165"/>
    </row>
    <row r="168" spans="1:9">
      <c r="A168" s="161"/>
      <c r="B168" s="162"/>
      <c r="C168" s="162"/>
      <c r="D168" s="162"/>
      <c r="E168" s="162"/>
      <c r="F168" s="162"/>
      <c r="G168" s="163"/>
      <c r="H168" s="164"/>
      <c r="I168" s="165"/>
    </row>
    <row r="169" spans="1:9">
      <c r="A169" s="161"/>
      <c r="B169" s="162"/>
      <c r="C169" s="162"/>
      <c r="D169" s="162"/>
      <c r="E169" s="162"/>
      <c r="F169" s="162"/>
      <c r="G169" s="163"/>
      <c r="H169" s="164"/>
      <c r="I169" s="165"/>
    </row>
    <row r="170" spans="1:9">
      <c r="A170" s="161"/>
      <c r="B170" s="162"/>
      <c r="C170" s="162"/>
      <c r="D170" s="162"/>
      <c r="E170" s="162"/>
      <c r="F170" s="162"/>
      <c r="G170" s="163"/>
      <c r="H170" s="164"/>
      <c r="I170" s="165"/>
    </row>
    <row r="171" spans="1:9">
      <c r="A171" s="161"/>
      <c r="B171" s="162"/>
      <c r="C171" s="162"/>
      <c r="D171" s="162"/>
      <c r="E171" s="162"/>
      <c r="F171" s="162"/>
      <c r="G171" s="163"/>
      <c r="H171" s="164"/>
      <c r="I171" s="165"/>
    </row>
    <row r="172" spans="1:9">
      <c r="A172" s="161"/>
      <c r="B172" s="162"/>
      <c r="C172" s="162"/>
      <c r="D172" s="162"/>
      <c r="E172" s="162"/>
      <c r="F172" s="162"/>
      <c r="G172" s="163"/>
      <c r="H172" s="164"/>
      <c r="I172" s="165"/>
    </row>
    <row r="173" spans="1:9">
      <c r="A173" s="161"/>
      <c r="B173" s="162"/>
      <c r="C173" s="162"/>
      <c r="D173" s="162"/>
      <c r="E173" s="162"/>
      <c r="F173" s="162"/>
      <c r="G173" s="163"/>
      <c r="H173" s="164"/>
      <c r="I173" s="165"/>
    </row>
    <row r="174" spans="1:9">
      <c r="A174" s="161"/>
      <c r="B174" s="162"/>
      <c r="C174" s="162"/>
      <c r="D174" s="162"/>
      <c r="E174" s="162"/>
      <c r="F174" s="162"/>
      <c r="G174" s="163"/>
      <c r="H174" s="164"/>
      <c r="I174" s="165"/>
    </row>
    <row r="175" spans="1:9">
      <c r="A175" s="161"/>
      <c r="B175" s="162"/>
      <c r="C175" s="162"/>
      <c r="D175" s="162"/>
      <c r="E175" s="162"/>
      <c r="F175" s="162"/>
      <c r="G175" s="163"/>
      <c r="H175" s="164"/>
      <c r="I175" s="165"/>
    </row>
    <row r="176" spans="1:9">
      <c r="A176" s="161"/>
      <c r="B176" s="162"/>
      <c r="C176" s="162"/>
      <c r="D176" s="162"/>
      <c r="E176" s="162"/>
      <c r="F176" s="162"/>
      <c r="G176" s="163"/>
      <c r="H176" s="164"/>
      <c r="I176" s="165"/>
    </row>
    <row r="177" spans="1:9">
      <c r="A177" s="161"/>
      <c r="B177" s="162"/>
      <c r="C177" s="162"/>
      <c r="D177" s="162"/>
      <c r="E177" s="162"/>
      <c r="F177" s="162"/>
      <c r="G177" s="163"/>
      <c r="H177" s="164"/>
      <c r="I177" s="165"/>
    </row>
    <row r="178" spans="1:9">
      <c r="A178" s="161"/>
      <c r="B178" s="162"/>
      <c r="C178" s="162"/>
      <c r="D178" s="162"/>
      <c r="E178" s="162"/>
      <c r="F178" s="162"/>
      <c r="G178" s="163"/>
      <c r="H178" s="164"/>
      <c r="I178" s="165"/>
    </row>
    <row r="179" spans="1:9">
      <c r="A179" s="161"/>
      <c r="B179" s="162"/>
      <c r="C179" s="162"/>
      <c r="D179" s="162"/>
      <c r="E179" s="162"/>
      <c r="F179" s="162"/>
      <c r="G179" s="163"/>
      <c r="H179" s="164"/>
      <c r="I179" s="165"/>
    </row>
    <row r="180" spans="1:9">
      <c r="A180" s="161"/>
      <c r="B180" s="162"/>
      <c r="C180" s="162"/>
      <c r="D180" s="162"/>
      <c r="E180" s="162"/>
      <c r="F180" s="162"/>
      <c r="G180" s="163"/>
      <c r="H180" s="164"/>
      <c r="I180" s="165"/>
    </row>
    <row r="181" spans="1:9">
      <c r="A181" s="161"/>
      <c r="B181" s="162"/>
      <c r="C181" s="162"/>
      <c r="D181" s="162"/>
      <c r="E181" s="162"/>
      <c r="F181" s="162"/>
      <c r="G181" s="163"/>
      <c r="H181" s="164"/>
      <c r="I181" s="165"/>
    </row>
    <row r="182" spans="1:9">
      <c r="A182" s="161"/>
      <c r="B182" s="162"/>
      <c r="C182" s="162"/>
      <c r="D182" s="162"/>
      <c r="E182" s="162"/>
      <c r="F182" s="162"/>
      <c r="G182" s="163"/>
      <c r="H182" s="164"/>
      <c r="I182" s="165"/>
    </row>
    <row r="183" spans="1:9">
      <c r="A183" s="161"/>
      <c r="B183" s="162"/>
      <c r="C183" s="162"/>
      <c r="D183" s="162"/>
      <c r="E183" s="162"/>
      <c r="F183" s="162"/>
      <c r="G183" s="163"/>
      <c r="H183" s="164"/>
      <c r="I183" s="165"/>
    </row>
    <row r="184" spans="1:9">
      <c r="A184" s="161"/>
      <c r="B184" s="162"/>
      <c r="C184" s="162"/>
      <c r="D184" s="162"/>
      <c r="E184" s="162"/>
      <c r="F184" s="162"/>
      <c r="G184" s="163"/>
      <c r="H184" s="164"/>
      <c r="I184" s="165"/>
    </row>
    <row r="185" spans="1:9">
      <c r="A185" s="161"/>
      <c r="B185" s="162"/>
      <c r="C185" s="162"/>
      <c r="D185" s="162"/>
      <c r="E185" s="162"/>
      <c r="F185" s="162"/>
      <c r="G185" s="163"/>
      <c r="H185" s="164"/>
      <c r="I185" s="165"/>
    </row>
    <row r="186" spans="1:9">
      <c r="A186" s="161"/>
      <c r="B186" s="162"/>
      <c r="C186" s="162"/>
      <c r="D186" s="162"/>
      <c r="E186" s="162"/>
      <c r="F186" s="162"/>
      <c r="G186" s="163"/>
      <c r="H186" s="164"/>
      <c r="I186" s="165"/>
    </row>
    <row r="187" spans="1:9">
      <c r="A187" s="161"/>
      <c r="B187" s="162"/>
      <c r="C187" s="162"/>
      <c r="D187" s="162"/>
      <c r="E187" s="162"/>
      <c r="F187" s="162"/>
      <c r="G187" s="163"/>
      <c r="H187" s="164"/>
      <c r="I187" s="165"/>
    </row>
    <row r="188" spans="1:9">
      <c r="A188" s="161"/>
      <c r="B188" s="162"/>
      <c r="C188" s="162"/>
      <c r="D188" s="162"/>
      <c r="E188" s="162"/>
      <c r="F188" s="162"/>
      <c r="G188" s="163"/>
      <c r="H188" s="164"/>
      <c r="I188" s="165"/>
    </row>
    <row r="189" spans="1:9">
      <c r="A189" s="161"/>
      <c r="B189" s="162"/>
      <c r="C189" s="162"/>
      <c r="D189" s="162"/>
      <c r="E189" s="162"/>
      <c r="F189" s="162"/>
      <c r="G189" s="163"/>
      <c r="H189" s="164"/>
      <c r="I189" s="165"/>
    </row>
    <row r="190" spans="1:9">
      <c r="A190" s="161"/>
      <c r="B190" s="162"/>
      <c r="C190" s="162"/>
      <c r="D190" s="162"/>
      <c r="E190" s="162"/>
      <c r="F190" s="162"/>
      <c r="G190" s="163"/>
      <c r="H190" s="164"/>
      <c r="I190" s="165"/>
    </row>
    <row r="191" spans="1:9">
      <c r="A191" s="161"/>
      <c r="B191" s="162"/>
      <c r="C191" s="162"/>
      <c r="D191" s="162"/>
      <c r="E191" s="162"/>
      <c r="F191" s="162"/>
      <c r="G191" s="163"/>
      <c r="H191" s="164"/>
      <c r="I191" s="165"/>
    </row>
    <row r="192" spans="1:9">
      <c r="A192" s="161"/>
      <c r="B192" s="162"/>
      <c r="C192" s="162"/>
      <c r="D192" s="162"/>
      <c r="E192" s="162"/>
      <c r="F192" s="162"/>
      <c r="G192" s="163"/>
      <c r="H192" s="164"/>
      <c r="I192" s="165"/>
    </row>
    <row r="193" spans="1:9">
      <c r="A193" s="161"/>
      <c r="B193" s="162"/>
      <c r="C193" s="162"/>
      <c r="D193" s="162"/>
      <c r="E193" s="162"/>
      <c r="F193" s="162"/>
      <c r="G193" s="163"/>
      <c r="H193" s="164"/>
      <c r="I193" s="165"/>
    </row>
    <row r="194" spans="1:9">
      <c r="A194" s="161"/>
      <c r="B194" s="162"/>
      <c r="C194" s="162"/>
      <c r="D194" s="162"/>
      <c r="E194" s="162"/>
      <c r="F194" s="162"/>
      <c r="G194" s="163"/>
      <c r="H194" s="164"/>
      <c r="I194" s="165"/>
    </row>
    <row r="195" spans="1:9">
      <c r="A195" s="161"/>
      <c r="B195" s="162"/>
      <c r="C195" s="162"/>
      <c r="D195" s="162"/>
      <c r="E195" s="162"/>
      <c r="F195" s="162"/>
      <c r="G195" s="163"/>
      <c r="H195" s="164"/>
      <c r="I195" s="165"/>
    </row>
    <row r="196" spans="1:9">
      <c r="A196" s="161"/>
      <c r="B196" s="162"/>
      <c r="C196" s="162"/>
      <c r="D196" s="162"/>
      <c r="E196" s="162"/>
      <c r="F196" s="162"/>
      <c r="G196" s="163"/>
      <c r="H196" s="164"/>
      <c r="I196" s="165"/>
    </row>
    <row r="197" spans="1:9">
      <c r="A197" s="161"/>
      <c r="B197" s="162"/>
      <c r="C197" s="162"/>
      <c r="D197" s="162"/>
      <c r="E197" s="162"/>
      <c r="F197" s="162"/>
      <c r="G197" s="163"/>
      <c r="H197" s="164"/>
      <c r="I197" s="165"/>
    </row>
    <row r="198" spans="1:9">
      <c r="A198" s="161"/>
      <c r="B198" s="162"/>
      <c r="C198" s="162"/>
      <c r="D198" s="162"/>
      <c r="E198" s="162"/>
      <c r="F198" s="162"/>
      <c r="G198" s="163"/>
      <c r="H198" s="164"/>
      <c r="I198" s="165"/>
    </row>
    <row r="199" spans="1:9">
      <c r="A199" s="161"/>
      <c r="B199" s="162"/>
      <c r="C199" s="162"/>
      <c r="D199" s="162"/>
      <c r="E199" s="162"/>
      <c r="F199" s="162"/>
      <c r="G199" s="163"/>
      <c r="H199" s="164"/>
      <c r="I199" s="165"/>
    </row>
    <row r="200" spans="1:9">
      <c r="A200" s="161"/>
      <c r="B200" s="162"/>
      <c r="C200" s="162"/>
      <c r="D200" s="162"/>
      <c r="E200" s="162"/>
      <c r="F200" s="162"/>
      <c r="G200" s="163"/>
      <c r="H200" s="164"/>
      <c r="I200" s="165"/>
    </row>
    <row r="201" spans="1:9">
      <c r="A201" s="161"/>
      <c r="B201" s="162"/>
      <c r="C201" s="162"/>
      <c r="D201" s="162"/>
      <c r="E201" s="162"/>
      <c r="F201" s="162"/>
      <c r="G201" s="163"/>
      <c r="H201" s="164"/>
      <c r="I201" s="165"/>
    </row>
    <row r="202" spans="1:9">
      <c r="A202" s="161"/>
      <c r="B202" s="162"/>
      <c r="C202" s="162"/>
      <c r="D202" s="162"/>
      <c r="E202" s="162"/>
      <c r="F202" s="162"/>
      <c r="G202" s="163"/>
      <c r="H202" s="164"/>
      <c r="I202" s="165"/>
    </row>
    <row r="203" spans="1:9">
      <c r="A203" s="161"/>
      <c r="B203" s="162"/>
      <c r="C203" s="162"/>
      <c r="D203" s="162"/>
      <c r="E203" s="162"/>
      <c r="F203" s="162"/>
      <c r="G203" s="163"/>
      <c r="H203" s="164"/>
      <c r="I203" s="165"/>
    </row>
    <row r="204" spans="1:9">
      <c r="A204" s="161"/>
      <c r="B204" s="162"/>
      <c r="C204" s="162"/>
      <c r="D204" s="162"/>
      <c r="E204" s="162"/>
      <c r="F204" s="162"/>
      <c r="G204" s="163"/>
      <c r="H204" s="164"/>
      <c r="I204" s="165"/>
    </row>
    <row r="205" spans="1:9">
      <c r="A205" s="161"/>
      <c r="B205" s="162"/>
      <c r="C205" s="162"/>
      <c r="D205" s="162"/>
      <c r="E205" s="162"/>
      <c r="F205" s="162"/>
      <c r="G205" s="163"/>
      <c r="H205" s="164"/>
      <c r="I205" s="165"/>
    </row>
    <row r="206" spans="1:9">
      <c r="A206" s="161"/>
      <c r="B206" s="162"/>
      <c r="C206" s="162"/>
      <c r="D206" s="162"/>
      <c r="E206" s="162"/>
      <c r="F206" s="162"/>
      <c r="G206" s="163"/>
      <c r="H206" s="164"/>
      <c r="I206" s="165"/>
    </row>
    <row r="207" spans="1:9">
      <c r="A207" s="161"/>
      <c r="B207" s="162"/>
      <c r="C207" s="162"/>
      <c r="D207" s="162"/>
      <c r="E207" s="162"/>
      <c r="F207" s="162"/>
      <c r="G207" s="163"/>
      <c r="H207" s="164"/>
      <c r="I207" s="165"/>
    </row>
    <row r="208" spans="1:9">
      <c r="A208" s="161"/>
      <c r="B208" s="162"/>
      <c r="C208" s="162"/>
      <c r="D208" s="162"/>
      <c r="E208" s="162"/>
      <c r="F208" s="162"/>
      <c r="G208" s="163"/>
      <c r="H208" s="164"/>
      <c r="I208" s="165"/>
    </row>
    <row r="209" spans="1:9">
      <c r="A209" s="161"/>
      <c r="B209" s="162"/>
      <c r="C209" s="162"/>
      <c r="D209" s="162"/>
      <c r="E209" s="162"/>
      <c r="F209" s="162"/>
      <c r="G209" s="163"/>
      <c r="H209" s="164"/>
      <c r="I209" s="165"/>
    </row>
    <row r="210" spans="1:9">
      <c r="A210" s="161"/>
      <c r="B210" s="162"/>
      <c r="C210" s="162"/>
      <c r="D210" s="162"/>
      <c r="E210" s="162"/>
      <c r="F210" s="162"/>
      <c r="G210" s="163"/>
      <c r="H210" s="164"/>
      <c r="I210" s="165"/>
    </row>
    <row r="211" spans="1:9">
      <c r="A211" s="161"/>
      <c r="B211" s="162"/>
      <c r="C211" s="162"/>
      <c r="D211" s="162"/>
      <c r="E211" s="162"/>
      <c r="F211" s="162"/>
      <c r="G211" s="163"/>
      <c r="H211" s="164"/>
      <c r="I211" s="165"/>
    </row>
    <row r="212" spans="1:9">
      <c r="A212" s="161"/>
      <c r="B212" s="162"/>
      <c r="C212" s="162"/>
      <c r="D212" s="162"/>
      <c r="E212" s="162"/>
      <c r="F212" s="162"/>
      <c r="G212" s="163"/>
      <c r="H212" s="164"/>
      <c r="I212" s="165"/>
    </row>
    <row r="213" spans="1:9">
      <c r="A213" s="161"/>
      <c r="B213" s="162"/>
      <c r="C213" s="162"/>
      <c r="D213" s="162"/>
      <c r="E213" s="162"/>
      <c r="F213" s="162"/>
      <c r="G213" s="163"/>
      <c r="H213" s="164"/>
      <c r="I213" s="165"/>
    </row>
    <row r="214" spans="1:9">
      <c r="A214" s="161"/>
      <c r="B214" s="162"/>
      <c r="C214" s="162"/>
      <c r="D214" s="162"/>
      <c r="E214" s="162"/>
      <c r="F214" s="162"/>
      <c r="G214" s="163"/>
      <c r="H214" s="164"/>
      <c r="I214" s="165"/>
    </row>
    <row r="215" spans="1:9">
      <c r="A215" s="161"/>
      <c r="B215" s="162"/>
      <c r="C215" s="162"/>
      <c r="D215" s="162"/>
      <c r="E215" s="162"/>
      <c r="F215" s="162"/>
      <c r="G215" s="163"/>
      <c r="H215" s="164"/>
      <c r="I215" s="165"/>
    </row>
    <row r="216" spans="1:9">
      <c r="A216" s="161"/>
      <c r="B216" s="162"/>
      <c r="C216" s="162"/>
      <c r="D216" s="162"/>
      <c r="E216" s="162"/>
      <c r="F216" s="162"/>
      <c r="G216" s="163"/>
      <c r="H216" s="164"/>
      <c r="I216" s="165"/>
    </row>
    <row r="217" spans="1:9">
      <c r="A217" s="161"/>
      <c r="B217" s="162"/>
      <c r="C217" s="162"/>
      <c r="D217" s="162"/>
      <c r="E217" s="162"/>
      <c r="F217" s="162"/>
      <c r="G217" s="163"/>
      <c r="H217" s="164"/>
      <c r="I217" s="165"/>
    </row>
    <row r="218" spans="1:9">
      <c r="A218" s="161"/>
      <c r="B218" s="162"/>
      <c r="C218" s="162"/>
      <c r="D218" s="162"/>
      <c r="E218" s="162"/>
      <c r="F218" s="162"/>
      <c r="G218" s="163"/>
      <c r="H218" s="164"/>
      <c r="I218" s="165"/>
    </row>
    <row r="219" spans="1:9">
      <c r="A219" s="161"/>
      <c r="B219" s="162"/>
      <c r="C219" s="162"/>
      <c r="D219" s="162"/>
      <c r="E219" s="162"/>
      <c r="F219" s="162"/>
      <c r="G219" s="163"/>
      <c r="H219" s="164"/>
      <c r="I219" s="165"/>
    </row>
    <row r="220" spans="1:9">
      <c r="A220" s="161"/>
      <c r="B220" s="162"/>
      <c r="C220" s="162"/>
      <c r="D220" s="162"/>
      <c r="E220" s="162"/>
      <c r="F220" s="162"/>
      <c r="G220" s="163"/>
      <c r="H220" s="164"/>
      <c r="I220" s="165"/>
    </row>
    <row r="221" spans="1:9">
      <c r="A221" s="161"/>
      <c r="B221" s="162"/>
      <c r="C221" s="162"/>
      <c r="D221" s="162"/>
      <c r="E221" s="162"/>
      <c r="F221" s="162"/>
      <c r="G221" s="163"/>
      <c r="H221" s="164"/>
      <c r="I221" s="165"/>
    </row>
    <row r="222" spans="1:9">
      <c r="A222" s="161"/>
      <c r="B222" s="162"/>
      <c r="C222" s="162"/>
      <c r="D222" s="162"/>
      <c r="E222" s="162"/>
      <c r="F222" s="162"/>
      <c r="G222" s="163"/>
      <c r="H222" s="164"/>
      <c r="I222" s="165"/>
    </row>
    <row r="223" spans="1:9">
      <c r="A223" s="161"/>
      <c r="B223" s="162"/>
      <c r="C223" s="162"/>
      <c r="D223" s="162"/>
      <c r="E223" s="162"/>
      <c r="F223" s="162"/>
      <c r="G223" s="163"/>
      <c r="H223" s="164"/>
      <c r="I223" s="165"/>
    </row>
    <row r="224" spans="1:9">
      <c r="A224" s="161"/>
      <c r="B224" s="162"/>
      <c r="C224" s="162"/>
      <c r="D224" s="162"/>
      <c r="E224" s="162"/>
      <c r="F224" s="162"/>
      <c r="G224" s="163"/>
      <c r="H224" s="164"/>
      <c r="I224" s="165"/>
    </row>
    <row r="225" spans="1:9">
      <c r="A225" s="161"/>
      <c r="B225" s="162"/>
      <c r="C225" s="162"/>
      <c r="D225" s="162"/>
      <c r="E225" s="162"/>
      <c r="F225" s="162"/>
      <c r="G225" s="163"/>
      <c r="H225" s="164"/>
      <c r="I225" s="165"/>
    </row>
    <row r="226" spans="1:9">
      <c r="A226" s="161"/>
      <c r="B226" s="162"/>
      <c r="C226" s="162"/>
      <c r="D226" s="162"/>
      <c r="E226" s="162"/>
      <c r="F226" s="162"/>
      <c r="G226" s="163"/>
      <c r="H226" s="164"/>
      <c r="I226" s="165"/>
    </row>
    <row r="227" spans="1:9">
      <c r="A227" s="161"/>
      <c r="B227" s="162"/>
      <c r="C227" s="162"/>
      <c r="D227" s="162"/>
      <c r="E227" s="162"/>
      <c r="F227" s="162"/>
      <c r="G227" s="163"/>
      <c r="H227" s="164"/>
      <c r="I227" s="165"/>
    </row>
    <row r="228" spans="1:9">
      <c r="A228" s="161"/>
      <c r="B228" s="162"/>
      <c r="C228" s="162"/>
      <c r="D228" s="162"/>
      <c r="E228" s="162"/>
      <c r="F228" s="162"/>
      <c r="G228" s="163"/>
      <c r="H228" s="164"/>
      <c r="I228" s="165"/>
    </row>
    <row r="229" spans="1:9">
      <c r="A229" s="161"/>
      <c r="B229" s="162"/>
      <c r="C229" s="162"/>
      <c r="D229" s="162"/>
      <c r="E229" s="162"/>
      <c r="F229" s="162"/>
      <c r="G229" s="163"/>
      <c r="H229" s="164"/>
      <c r="I229" s="165"/>
    </row>
    <row r="230" spans="1:9">
      <c r="A230" s="161"/>
      <c r="B230" s="162"/>
      <c r="C230" s="162"/>
      <c r="D230" s="162"/>
      <c r="E230" s="162"/>
      <c r="F230" s="162"/>
      <c r="G230" s="163"/>
      <c r="H230" s="164"/>
      <c r="I230" s="165"/>
    </row>
    <row r="231" spans="1:9">
      <c r="A231" s="161"/>
      <c r="B231" s="162"/>
      <c r="C231" s="162"/>
      <c r="D231" s="162"/>
      <c r="E231" s="162"/>
      <c r="F231" s="162"/>
      <c r="G231" s="163"/>
      <c r="H231" s="164"/>
      <c r="I231" s="165"/>
    </row>
    <row r="232" spans="1:9">
      <c r="A232" s="161"/>
      <c r="B232" s="162"/>
      <c r="C232" s="162"/>
      <c r="D232" s="162"/>
      <c r="E232" s="162"/>
      <c r="F232" s="162"/>
      <c r="G232" s="163"/>
      <c r="H232" s="164"/>
      <c r="I232" s="165"/>
    </row>
    <row r="233" spans="1:9">
      <c r="A233" s="161"/>
      <c r="B233" s="162"/>
      <c r="C233" s="162"/>
      <c r="D233" s="162"/>
      <c r="E233" s="162"/>
      <c r="F233" s="162"/>
      <c r="G233" s="163"/>
      <c r="H233" s="164"/>
      <c r="I233" s="165"/>
    </row>
    <row r="234" spans="1:9">
      <c r="A234" s="161"/>
      <c r="B234" s="162"/>
      <c r="C234" s="162"/>
      <c r="D234" s="162"/>
      <c r="E234" s="162"/>
      <c r="F234" s="162"/>
      <c r="G234" s="163"/>
      <c r="H234" s="164"/>
      <c r="I234" s="165"/>
    </row>
    <row r="235" spans="1:9">
      <c r="A235" s="161"/>
      <c r="B235" s="162"/>
      <c r="C235" s="162"/>
      <c r="D235" s="162"/>
      <c r="E235" s="162"/>
      <c r="F235" s="162"/>
      <c r="G235" s="163"/>
      <c r="H235" s="164"/>
      <c r="I235" s="165"/>
    </row>
    <row r="236" spans="1:9">
      <c r="A236" s="161"/>
      <c r="B236" s="162"/>
      <c r="C236" s="162"/>
      <c r="D236" s="162"/>
      <c r="E236" s="162"/>
      <c r="F236" s="162"/>
      <c r="G236" s="163"/>
      <c r="H236" s="164"/>
      <c r="I236" s="165"/>
    </row>
    <row r="237" spans="1:9">
      <c r="A237" s="161"/>
      <c r="B237" s="162"/>
      <c r="C237" s="162"/>
      <c r="D237" s="162"/>
      <c r="E237" s="162"/>
      <c r="F237" s="162"/>
      <c r="G237" s="163"/>
      <c r="H237" s="164"/>
      <c r="I237" s="165"/>
    </row>
    <row r="238" spans="1:9">
      <c r="A238" s="161"/>
      <c r="B238" s="162"/>
      <c r="C238" s="162"/>
      <c r="D238" s="162"/>
      <c r="E238" s="162"/>
      <c r="F238" s="162"/>
      <c r="G238" s="163"/>
      <c r="H238" s="164"/>
      <c r="I238" s="165"/>
    </row>
    <row r="239" spans="1:9">
      <c r="A239" s="161"/>
      <c r="B239" s="162"/>
      <c r="C239" s="162"/>
      <c r="D239" s="162"/>
      <c r="E239" s="162"/>
      <c r="F239" s="162"/>
      <c r="G239" s="163"/>
      <c r="H239" s="164"/>
      <c r="I239" s="165"/>
    </row>
    <row r="240" spans="1:9">
      <c r="A240" s="161"/>
      <c r="B240" s="162"/>
      <c r="C240" s="162"/>
      <c r="D240" s="162"/>
      <c r="E240" s="162"/>
      <c r="F240" s="162"/>
      <c r="G240" s="163"/>
      <c r="H240" s="164"/>
      <c r="I240" s="165"/>
    </row>
    <row r="241" spans="1:9">
      <c r="A241" s="161"/>
      <c r="B241" s="162"/>
      <c r="C241" s="162"/>
      <c r="D241" s="162"/>
      <c r="E241" s="162"/>
      <c r="F241" s="162"/>
      <c r="G241" s="163"/>
      <c r="H241" s="164"/>
      <c r="I241" s="165"/>
    </row>
    <row r="242" spans="1:9">
      <c r="A242" s="161"/>
      <c r="B242" s="162"/>
      <c r="C242" s="162"/>
      <c r="D242" s="162"/>
      <c r="E242" s="162"/>
      <c r="F242" s="162"/>
      <c r="G242" s="163"/>
      <c r="H242" s="164"/>
      <c r="I242" s="165"/>
    </row>
    <row r="243" spans="1:9">
      <c r="A243" s="161"/>
      <c r="B243" s="162"/>
      <c r="C243" s="162"/>
      <c r="D243" s="162"/>
      <c r="E243" s="162"/>
      <c r="F243" s="162"/>
      <c r="G243" s="163"/>
      <c r="H243" s="164"/>
      <c r="I243" s="165"/>
    </row>
    <row r="244" spans="1:9">
      <c r="A244" s="161"/>
      <c r="B244" s="162"/>
      <c r="C244" s="162"/>
      <c r="D244" s="162"/>
      <c r="E244" s="162"/>
      <c r="F244" s="162"/>
      <c r="G244" s="163"/>
      <c r="H244" s="164"/>
      <c r="I244" s="165"/>
    </row>
    <row r="245" spans="1:9">
      <c r="A245" s="161"/>
      <c r="B245" s="162"/>
      <c r="C245" s="162"/>
      <c r="D245" s="162"/>
      <c r="E245" s="162"/>
      <c r="F245" s="162"/>
      <c r="G245" s="163"/>
      <c r="H245" s="164"/>
      <c r="I245" s="165"/>
    </row>
    <row r="246" spans="1:9">
      <c r="A246" s="161"/>
      <c r="B246" s="162"/>
      <c r="C246" s="162"/>
      <c r="D246" s="162"/>
      <c r="E246" s="162"/>
      <c r="F246" s="162"/>
      <c r="G246" s="163"/>
      <c r="H246" s="164"/>
      <c r="I246" s="165"/>
    </row>
    <row r="247" spans="1:9">
      <c r="A247" s="161"/>
      <c r="B247" s="162"/>
      <c r="C247" s="162"/>
      <c r="D247" s="162"/>
      <c r="E247" s="162"/>
      <c r="F247" s="162"/>
      <c r="G247" s="163"/>
      <c r="H247" s="164"/>
      <c r="I247" s="165"/>
    </row>
    <row r="248" spans="1:9">
      <c r="A248" s="161"/>
      <c r="B248" s="162"/>
      <c r="C248" s="162"/>
      <c r="D248" s="162"/>
      <c r="E248" s="162"/>
      <c r="F248" s="162"/>
      <c r="G248" s="163"/>
      <c r="H248" s="164"/>
      <c r="I248" s="165"/>
    </row>
    <row r="249" spans="1:9">
      <c r="A249" s="161"/>
      <c r="B249" s="162"/>
      <c r="C249" s="162"/>
      <c r="D249" s="162"/>
      <c r="E249" s="162"/>
      <c r="F249" s="162"/>
      <c r="G249" s="163"/>
      <c r="H249" s="164"/>
      <c r="I249" s="165"/>
    </row>
    <row r="250" spans="1:9">
      <c r="A250" s="161"/>
      <c r="B250" s="162"/>
      <c r="C250" s="162"/>
      <c r="D250" s="162"/>
      <c r="E250" s="162"/>
      <c r="F250" s="162"/>
      <c r="G250" s="163"/>
      <c r="H250" s="164"/>
      <c r="I250" s="165"/>
    </row>
    <row r="251" spans="1:9">
      <c r="A251" s="161"/>
      <c r="B251" s="162"/>
      <c r="C251" s="162"/>
      <c r="D251" s="162"/>
      <c r="E251" s="162"/>
      <c r="F251" s="162"/>
      <c r="G251" s="163"/>
      <c r="H251" s="164"/>
      <c r="I251" s="165"/>
    </row>
    <row r="252" spans="1:9">
      <c r="A252" s="161"/>
      <c r="B252" s="162"/>
      <c r="C252" s="162"/>
      <c r="D252" s="162"/>
      <c r="E252" s="162"/>
      <c r="F252" s="162"/>
      <c r="G252" s="163"/>
      <c r="H252" s="164"/>
      <c r="I252" s="165"/>
    </row>
    <row r="253" spans="1:9">
      <c r="A253" s="161"/>
      <c r="B253" s="162"/>
      <c r="C253" s="162"/>
      <c r="D253" s="162"/>
      <c r="E253" s="162"/>
      <c r="F253" s="162"/>
      <c r="G253" s="163"/>
      <c r="H253" s="164"/>
      <c r="I253" s="165"/>
    </row>
    <row r="254" spans="1:9">
      <c r="A254" s="161"/>
      <c r="B254" s="162"/>
      <c r="C254" s="162"/>
      <c r="D254" s="162"/>
      <c r="E254" s="162"/>
      <c r="F254" s="162"/>
      <c r="G254" s="163"/>
      <c r="H254" s="164"/>
      <c r="I254" s="165"/>
    </row>
    <row r="255" spans="1:9">
      <c r="A255" s="161"/>
      <c r="B255" s="162"/>
      <c r="C255" s="162"/>
      <c r="D255" s="162"/>
      <c r="E255" s="162"/>
      <c r="F255" s="162"/>
      <c r="G255" s="163"/>
      <c r="H255" s="164"/>
      <c r="I255" s="165"/>
    </row>
    <row r="256" spans="1:9">
      <c r="A256" s="161"/>
      <c r="B256" s="162"/>
      <c r="C256" s="162"/>
      <c r="D256" s="162"/>
      <c r="E256" s="162"/>
      <c r="F256" s="162"/>
      <c r="G256" s="163"/>
      <c r="H256" s="164"/>
      <c r="I256" s="165"/>
    </row>
    <row r="257" spans="1:9">
      <c r="A257" s="161"/>
      <c r="B257" s="162"/>
      <c r="C257" s="162"/>
      <c r="D257" s="162"/>
      <c r="E257" s="162"/>
      <c r="F257" s="162"/>
      <c r="G257" s="163"/>
      <c r="H257" s="164"/>
      <c r="I257" s="165"/>
    </row>
    <row r="258" spans="1:9">
      <c r="A258" s="161"/>
      <c r="B258" s="162"/>
      <c r="C258" s="162"/>
      <c r="D258" s="162"/>
      <c r="E258" s="162"/>
      <c r="F258" s="162"/>
      <c r="G258" s="163"/>
      <c r="H258" s="164"/>
      <c r="I258" s="165"/>
    </row>
    <row r="259" spans="1:9">
      <c r="A259" s="161"/>
      <c r="B259" s="162"/>
      <c r="C259" s="162"/>
      <c r="D259" s="162"/>
      <c r="E259" s="162"/>
      <c r="F259" s="162"/>
      <c r="G259" s="163"/>
      <c r="H259" s="164"/>
      <c r="I259" s="165"/>
    </row>
    <row r="260" spans="1:9">
      <c r="A260" s="161"/>
      <c r="B260" s="162"/>
      <c r="C260" s="162"/>
      <c r="D260" s="162"/>
      <c r="E260" s="162"/>
      <c r="F260" s="162"/>
      <c r="G260" s="163"/>
      <c r="H260" s="164"/>
      <c r="I260" s="165"/>
    </row>
    <row r="261" spans="1:9">
      <c r="A261" s="161"/>
      <c r="B261" s="162"/>
      <c r="C261" s="162"/>
      <c r="D261" s="162"/>
      <c r="E261" s="162"/>
      <c r="F261" s="162"/>
      <c r="G261" s="163"/>
      <c r="H261" s="164"/>
      <c r="I261" s="165"/>
    </row>
    <row r="262" spans="1:9">
      <c r="A262" s="161"/>
      <c r="B262" s="162"/>
      <c r="C262" s="162"/>
      <c r="D262" s="162"/>
      <c r="E262" s="162"/>
      <c r="F262" s="162"/>
      <c r="G262" s="163"/>
      <c r="H262" s="164"/>
      <c r="I262" s="165"/>
    </row>
    <row r="263" spans="1:9">
      <c r="A263" s="161"/>
      <c r="B263" s="162"/>
      <c r="C263" s="162"/>
      <c r="D263" s="162"/>
      <c r="E263" s="162"/>
      <c r="F263" s="162"/>
      <c r="G263" s="163"/>
      <c r="H263" s="164"/>
      <c r="I263" s="165"/>
    </row>
    <row r="264" spans="1:9">
      <c r="A264" s="161"/>
      <c r="B264" s="162"/>
      <c r="C264" s="162"/>
      <c r="D264" s="162"/>
      <c r="E264" s="162"/>
      <c r="F264" s="162"/>
      <c r="G264" s="163"/>
      <c r="H264" s="164"/>
      <c r="I264" s="165"/>
    </row>
    <row r="265" spans="1:9">
      <c r="A265" s="161"/>
      <c r="B265" s="162"/>
      <c r="C265" s="162"/>
      <c r="D265" s="162"/>
      <c r="E265" s="162"/>
      <c r="F265" s="162"/>
      <c r="G265" s="163"/>
      <c r="H265" s="164"/>
      <c r="I265" s="165"/>
    </row>
    <row r="266" spans="1:9">
      <c r="A266" s="161"/>
      <c r="B266" s="162"/>
      <c r="C266" s="162"/>
      <c r="D266" s="162"/>
      <c r="E266" s="162"/>
      <c r="F266" s="162"/>
      <c r="G266" s="163"/>
      <c r="H266" s="164"/>
      <c r="I266" s="165"/>
    </row>
    <row r="267" spans="1:9">
      <c r="A267" s="161"/>
      <c r="B267" s="162"/>
      <c r="C267" s="162"/>
      <c r="D267" s="162"/>
      <c r="E267" s="162"/>
      <c r="F267" s="162"/>
      <c r="G267" s="163"/>
      <c r="H267" s="164"/>
      <c r="I267" s="165"/>
    </row>
    <row r="268" spans="1:9">
      <c r="A268" s="161"/>
      <c r="B268" s="162"/>
      <c r="C268" s="162"/>
      <c r="D268" s="162"/>
      <c r="E268" s="162"/>
      <c r="F268" s="162"/>
      <c r="G268" s="163"/>
      <c r="H268" s="164"/>
      <c r="I268" s="165"/>
    </row>
    <row r="269" spans="1:9">
      <c r="A269" s="161"/>
      <c r="B269" s="162"/>
      <c r="C269" s="162"/>
      <c r="D269" s="162"/>
      <c r="E269" s="162"/>
      <c r="F269" s="162"/>
      <c r="G269" s="163"/>
      <c r="H269" s="164"/>
      <c r="I269" s="165"/>
    </row>
    <row r="270" spans="1:9">
      <c r="A270" s="161"/>
      <c r="B270" s="162"/>
      <c r="C270" s="162"/>
      <c r="D270" s="162"/>
      <c r="E270" s="162"/>
      <c r="F270" s="162"/>
      <c r="G270" s="163"/>
      <c r="H270" s="164"/>
      <c r="I270" s="165"/>
    </row>
    <row r="271" spans="1:9">
      <c r="A271" s="161"/>
      <c r="B271" s="162"/>
      <c r="C271" s="162"/>
      <c r="D271" s="162"/>
      <c r="E271" s="162"/>
      <c r="F271" s="162"/>
      <c r="G271" s="163"/>
      <c r="H271" s="164"/>
      <c r="I271" s="165"/>
    </row>
    <row r="272" spans="1:9">
      <c r="A272" s="161"/>
      <c r="B272" s="162"/>
      <c r="C272" s="162"/>
      <c r="D272" s="162"/>
      <c r="E272" s="162"/>
      <c r="F272" s="162"/>
      <c r="G272" s="163"/>
      <c r="H272" s="164"/>
      <c r="I272" s="165"/>
    </row>
    <row r="273" spans="1:9">
      <c r="A273" s="161"/>
      <c r="B273" s="162"/>
      <c r="C273" s="162"/>
      <c r="D273" s="162"/>
      <c r="E273" s="162"/>
      <c r="F273" s="162"/>
      <c r="G273" s="163"/>
      <c r="H273" s="164"/>
      <c r="I273" s="165"/>
    </row>
    <row r="274" spans="1:9">
      <c r="A274" s="161"/>
      <c r="B274" s="162"/>
      <c r="C274" s="162"/>
      <c r="D274" s="162"/>
      <c r="E274" s="162"/>
      <c r="F274" s="162"/>
      <c r="G274" s="163"/>
      <c r="H274" s="164"/>
      <c r="I274" s="165"/>
    </row>
    <row r="275" spans="1:9">
      <c r="A275" s="161"/>
      <c r="B275" s="162"/>
      <c r="C275" s="162"/>
      <c r="D275" s="162"/>
      <c r="E275" s="162"/>
      <c r="F275" s="162"/>
      <c r="G275" s="163"/>
      <c r="H275" s="164"/>
      <c r="I275" s="165"/>
    </row>
    <row r="276" spans="1:9">
      <c r="A276" s="161"/>
      <c r="B276" s="162"/>
      <c r="C276" s="162"/>
      <c r="D276" s="162"/>
      <c r="E276" s="162"/>
      <c r="F276" s="162"/>
      <c r="G276" s="163"/>
      <c r="H276" s="164"/>
      <c r="I276" s="165"/>
    </row>
    <row r="277" spans="1:9">
      <c r="A277" s="161"/>
      <c r="B277" s="162"/>
      <c r="C277" s="162"/>
      <c r="D277" s="162"/>
      <c r="E277" s="162"/>
      <c r="F277" s="162"/>
      <c r="G277" s="163"/>
      <c r="H277" s="164"/>
      <c r="I277" s="165"/>
    </row>
    <row r="278" spans="1:9">
      <c r="A278" s="161"/>
      <c r="B278" s="162"/>
      <c r="C278" s="162"/>
      <c r="D278" s="162"/>
      <c r="E278" s="162"/>
      <c r="F278" s="162"/>
      <c r="G278" s="163"/>
      <c r="H278" s="164"/>
      <c r="I278" s="165"/>
    </row>
    <row r="279" spans="1:9">
      <c r="A279" s="161"/>
      <c r="B279" s="162"/>
      <c r="C279" s="162"/>
      <c r="D279" s="162"/>
      <c r="E279" s="162"/>
      <c r="F279" s="162"/>
      <c r="G279" s="163"/>
      <c r="H279" s="164"/>
      <c r="I279" s="165"/>
    </row>
    <row r="280" spans="1:9">
      <c r="A280" s="161"/>
      <c r="B280" s="162"/>
      <c r="C280" s="162"/>
      <c r="D280" s="162"/>
      <c r="E280" s="162"/>
      <c r="F280" s="162"/>
      <c r="G280" s="163"/>
      <c r="H280" s="164"/>
      <c r="I280" s="165"/>
    </row>
    <row r="281" spans="1:9">
      <c r="A281" s="161"/>
      <c r="B281" s="162"/>
      <c r="C281" s="162"/>
      <c r="D281" s="162"/>
      <c r="E281" s="162"/>
      <c r="F281" s="162"/>
      <c r="G281" s="163"/>
      <c r="H281" s="164"/>
      <c r="I281" s="165"/>
    </row>
    <row r="282" spans="1:9">
      <c r="A282" s="161"/>
      <c r="B282" s="162"/>
      <c r="C282" s="162"/>
      <c r="D282" s="162"/>
      <c r="E282" s="162"/>
      <c r="F282" s="162"/>
      <c r="G282" s="163"/>
      <c r="H282" s="164"/>
      <c r="I282" s="165"/>
    </row>
    <row r="283" spans="1:9">
      <c r="A283" s="161"/>
      <c r="B283" s="162"/>
      <c r="C283" s="162"/>
      <c r="D283" s="162"/>
      <c r="E283" s="162"/>
      <c r="F283" s="162"/>
      <c r="G283" s="163"/>
      <c r="H283" s="164"/>
      <c r="I283" s="165"/>
    </row>
    <row r="284" spans="1:9">
      <c r="A284" s="161"/>
      <c r="B284" s="162"/>
      <c r="C284" s="162"/>
      <c r="D284" s="162"/>
      <c r="E284" s="162"/>
      <c r="F284" s="162"/>
      <c r="G284" s="163"/>
      <c r="H284" s="164"/>
      <c r="I284" s="165"/>
    </row>
    <row r="285" spans="1:9">
      <c r="A285" s="161"/>
      <c r="B285" s="162"/>
      <c r="C285" s="162"/>
      <c r="D285" s="162"/>
      <c r="E285" s="162"/>
      <c r="F285" s="162"/>
      <c r="G285" s="163"/>
      <c r="H285" s="164"/>
      <c r="I285" s="165"/>
    </row>
    <row r="286" spans="1:9">
      <c r="A286" s="161"/>
      <c r="B286" s="162"/>
      <c r="C286" s="162"/>
      <c r="D286" s="162"/>
      <c r="E286" s="162"/>
      <c r="F286" s="162"/>
      <c r="G286" s="163"/>
      <c r="H286" s="164"/>
      <c r="I286" s="165"/>
    </row>
    <row r="287" spans="1:9">
      <c r="A287" s="161"/>
      <c r="B287" s="162"/>
      <c r="C287" s="162"/>
      <c r="D287" s="162"/>
      <c r="E287" s="162"/>
      <c r="F287" s="162"/>
      <c r="G287" s="163"/>
      <c r="H287" s="164"/>
      <c r="I287" s="165"/>
    </row>
    <row r="288" spans="1:9">
      <c r="A288" s="161"/>
      <c r="B288" s="162"/>
      <c r="C288" s="162"/>
      <c r="D288" s="162"/>
      <c r="E288" s="162"/>
      <c r="F288" s="162"/>
      <c r="G288" s="163"/>
      <c r="H288" s="164"/>
      <c r="I288" s="165"/>
    </row>
    <row r="289" spans="1:9">
      <c r="A289" s="161"/>
      <c r="B289" s="162"/>
      <c r="C289" s="162"/>
      <c r="D289" s="162"/>
      <c r="E289" s="162"/>
      <c r="F289" s="162"/>
      <c r="G289" s="163"/>
      <c r="H289" s="164"/>
      <c r="I289" s="165"/>
    </row>
    <row r="290" spans="1:9">
      <c r="A290" s="161"/>
      <c r="B290" s="162"/>
      <c r="C290" s="162"/>
      <c r="D290" s="162"/>
      <c r="E290" s="162"/>
      <c r="F290" s="162"/>
      <c r="G290" s="163"/>
      <c r="H290" s="164"/>
      <c r="I290" s="165"/>
    </row>
    <row r="291" spans="1:9">
      <c r="A291" s="161"/>
      <c r="B291" s="162"/>
      <c r="C291" s="162"/>
      <c r="D291" s="162"/>
      <c r="E291" s="162"/>
      <c r="F291" s="162"/>
      <c r="G291" s="163"/>
      <c r="H291" s="164"/>
      <c r="I291" s="165"/>
    </row>
    <row r="292" spans="1:9">
      <c r="A292" s="161"/>
      <c r="B292" s="162"/>
      <c r="C292" s="162"/>
      <c r="D292" s="162"/>
      <c r="E292" s="162"/>
      <c r="F292" s="162"/>
      <c r="G292" s="163"/>
      <c r="H292" s="164"/>
      <c r="I292" s="165"/>
    </row>
    <row r="293" spans="1:9">
      <c r="A293" s="161"/>
      <c r="B293" s="162"/>
      <c r="C293" s="162"/>
      <c r="D293" s="162"/>
      <c r="E293" s="162"/>
      <c r="F293" s="162"/>
      <c r="G293" s="163"/>
      <c r="H293" s="164"/>
      <c r="I293" s="165"/>
    </row>
    <row r="294" spans="1:9">
      <c r="A294" s="161"/>
      <c r="B294" s="162"/>
      <c r="C294" s="162"/>
      <c r="D294" s="162"/>
      <c r="E294" s="162"/>
      <c r="F294" s="162"/>
      <c r="G294" s="163"/>
      <c r="H294" s="164"/>
      <c r="I294" s="165"/>
    </row>
    <row r="295" spans="1:9">
      <c r="A295" s="161"/>
      <c r="B295" s="162"/>
      <c r="C295" s="162"/>
      <c r="D295" s="162"/>
      <c r="E295" s="162"/>
      <c r="F295" s="162"/>
      <c r="G295" s="163"/>
      <c r="H295" s="164"/>
      <c r="I295" s="165"/>
    </row>
    <row r="296" spans="1:9">
      <c r="A296" s="161"/>
      <c r="B296" s="162"/>
      <c r="C296" s="162"/>
      <c r="D296" s="162"/>
      <c r="E296" s="162"/>
      <c r="F296" s="162"/>
      <c r="G296" s="163"/>
      <c r="H296" s="164"/>
      <c r="I296" s="165"/>
    </row>
    <row r="297" spans="1:9">
      <c r="A297" s="161"/>
      <c r="B297" s="162"/>
      <c r="C297" s="162"/>
      <c r="D297" s="162"/>
      <c r="E297" s="162"/>
      <c r="F297" s="162"/>
      <c r="G297" s="163"/>
      <c r="H297" s="164"/>
      <c r="I297" s="165"/>
    </row>
    <row r="298" spans="1:9">
      <c r="A298" s="161"/>
      <c r="B298" s="162"/>
      <c r="C298" s="162"/>
      <c r="D298" s="162"/>
      <c r="E298" s="162"/>
      <c r="F298" s="162"/>
      <c r="G298" s="163"/>
      <c r="H298" s="164"/>
      <c r="I298" s="165"/>
    </row>
    <row r="299" spans="1:9">
      <c r="A299" s="161"/>
      <c r="B299" s="162"/>
      <c r="C299" s="162"/>
      <c r="D299" s="162"/>
      <c r="E299" s="162"/>
      <c r="F299" s="162"/>
      <c r="G299" s="163"/>
      <c r="H299" s="164"/>
      <c r="I299" s="165"/>
    </row>
    <row r="300" spans="1:9">
      <c r="A300" s="161"/>
      <c r="B300" s="162"/>
      <c r="C300" s="162"/>
      <c r="D300" s="162"/>
      <c r="E300" s="162"/>
      <c r="F300" s="162"/>
      <c r="G300" s="163"/>
      <c r="H300" s="164"/>
      <c r="I300" s="165"/>
    </row>
    <row r="301" spans="1:9">
      <c r="A301" s="161"/>
      <c r="B301" s="162"/>
      <c r="C301" s="162"/>
      <c r="D301" s="162"/>
      <c r="E301" s="162"/>
      <c r="F301" s="162"/>
      <c r="G301" s="163"/>
      <c r="H301" s="164"/>
      <c r="I301" s="165"/>
    </row>
    <row r="302" spans="1:9">
      <c r="A302" s="161"/>
      <c r="B302" s="162"/>
      <c r="C302" s="162"/>
      <c r="D302" s="162"/>
      <c r="E302" s="162"/>
      <c r="F302" s="162"/>
      <c r="G302" s="163"/>
      <c r="H302" s="164"/>
      <c r="I302" s="165"/>
    </row>
    <row r="303" spans="1:9">
      <c r="A303" s="161"/>
      <c r="B303" s="162"/>
      <c r="C303" s="162"/>
      <c r="D303" s="162"/>
      <c r="E303" s="162"/>
      <c r="F303" s="162"/>
      <c r="G303" s="163"/>
      <c r="H303" s="164"/>
      <c r="I303" s="165"/>
    </row>
    <row r="304" spans="1:9">
      <c r="A304" s="161"/>
      <c r="B304" s="162"/>
      <c r="C304" s="162"/>
      <c r="D304" s="162"/>
      <c r="E304" s="162"/>
      <c r="F304" s="162"/>
      <c r="G304" s="163"/>
      <c r="H304" s="164"/>
      <c r="I304" s="165"/>
    </row>
    <row r="305" spans="1:9">
      <c r="A305" s="161"/>
      <c r="B305" s="162"/>
      <c r="C305" s="162"/>
      <c r="D305" s="162"/>
      <c r="E305" s="162"/>
      <c r="F305" s="162"/>
      <c r="G305" s="163"/>
      <c r="H305" s="164"/>
      <c r="I305" s="165"/>
    </row>
    <row r="306" spans="1:9">
      <c r="A306" s="161"/>
      <c r="B306" s="162"/>
      <c r="C306" s="162"/>
      <c r="D306" s="162"/>
      <c r="E306" s="162"/>
      <c r="F306" s="162"/>
      <c r="G306" s="163"/>
      <c r="H306" s="164"/>
      <c r="I306" s="165"/>
    </row>
    <row r="307" spans="1:9">
      <c r="A307" s="161"/>
      <c r="B307" s="162"/>
      <c r="C307" s="162"/>
      <c r="D307" s="162"/>
      <c r="E307" s="162"/>
      <c r="F307" s="162"/>
      <c r="G307" s="163"/>
      <c r="H307" s="164"/>
      <c r="I307" s="165"/>
    </row>
    <row r="308" spans="1:9">
      <c r="A308" s="161"/>
      <c r="B308" s="162"/>
      <c r="C308" s="162"/>
      <c r="D308" s="162"/>
      <c r="E308" s="162"/>
      <c r="F308" s="162"/>
      <c r="G308" s="163"/>
      <c r="H308" s="164"/>
      <c r="I308" s="165"/>
    </row>
    <row r="309" spans="1:9">
      <c r="A309" s="161"/>
      <c r="B309" s="162"/>
      <c r="C309" s="162"/>
      <c r="D309" s="162"/>
      <c r="E309" s="162"/>
      <c r="F309" s="162"/>
      <c r="G309" s="163"/>
      <c r="H309" s="164"/>
      <c r="I309" s="165"/>
    </row>
    <row r="310" spans="1:9">
      <c r="A310" s="161"/>
      <c r="B310" s="162"/>
      <c r="C310" s="162"/>
      <c r="D310" s="162"/>
      <c r="E310" s="162"/>
      <c r="F310" s="162"/>
      <c r="G310" s="163"/>
      <c r="H310" s="164"/>
      <c r="I310" s="165"/>
    </row>
    <row r="311" spans="1:9">
      <c r="A311" s="161"/>
      <c r="B311" s="162"/>
      <c r="C311" s="162"/>
      <c r="D311" s="162"/>
      <c r="E311" s="162"/>
      <c r="F311" s="162"/>
      <c r="G311" s="163"/>
      <c r="H311" s="164"/>
      <c r="I311" s="165"/>
    </row>
    <row r="312" spans="1:9">
      <c r="A312" s="161"/>
      <c r="B312" s="162"/>
      <c r="C312" s="162"/>
      <c r="D312" s="162"/>
      <c r="E312" s="162"/>
      <c r="F312" s="162"/>
      <c r="G312" s="163"/>
      <c r="H312" s="164"/>
      <c r="I312" s="165"/>
    </row>
    <row r="313" spans="1:9">
      <c r="A313" s="161"/>
      <c r="B313" s="162"/>
      <c r="C313" s="162"/>
      <c r="D313" s="162"/>
      <c r="E313" s="162"/>
      <c r="F313" s="162"/>
      <c r="G313" s="163"/>
      <c r="H313" s="164"/>
      <c r="I313" s="165"/>
    </row>
    <row r="314" spans="1:9">
      <c r="A314" s="161"/>
      <c r="B314" s="162"/>
      <c r="C314" s="162"/>
      <c r="D314" s="162"/>
      <c r="E314" s="162"/>
      <c r="F314" s="162"/>
      <c r="G314" s="163"/>
      <c r="H314" s="164"/>
      <c r="I314" s="165"/>
    </row>
    <row r="315" spans="1:9">
      <c r="A315" s="161"/>
      <c r="B315" s="162"/>
      <c r="C315" s="162"/>
      <c r="D315" s="162"/>
      <c r="E315" s="162"/>
      <c r="F315" s="162"/>
      <c r="G315" s="163"/>
      <c r="H315" s="164"/>
      <c r="I315" s="165"/>
    </row>
    <row r="316" spans="1:9">
      <c r="A316" s="161"/>
      <c r="B316" s="162"/>
      <c r="C316" s="162"/>
      <c r="D316" s="162"/>
      <c r="E316" s="162"/>
      <c r="F316" s="162"/>
      <c r="G316" s="163"/>
      <c r="H316" s="164"/>
      <c r="I316" s="165"/>
    </row>
    <row r="317" spans="1:9">
      <c r="A317" s="161"/>
      <c r="B317" s="162"/>
      <c r="C317" s="162"/>
      <c r="D317" s="162"/>
      <c r="E317" s="162"/>
      <c r="F317" s="162"/>
      <c r="G317" s="163"/>
      <c r="H317" s="164"/>
      <c r="I317" s="165"/>
    </row>
    <row r="318" spans="1:9">
      <c r="A318" s="161"/>
      <c r="B318" s="162"/>
      <c r="C318" s="162"/>
      <c r="D318" s="162"/>
      <c r="E318" s="162"/>
      <c r="F318" s="162"/>
      <c r="G318" s="163"/>
      <c r="H318" s="164"/>
      <c r="I318" s="165"/>
    </row>
    <row r="319" spans="1:9">
      <c r="A319" s="161"/>
      <c r="B319" s="162"/>
      <c r="C319" s="162"/>
      <c r="D319" s="162"/>
      <c r="E319" s="162"/>
      <c r="F319" s="162"/>
      <c r="G319" s="163"/>
      <c r="H319" s="164"/>
      <c r="I319" s="165"/>
    </row>
    <row r="320" spans="1:9">
      <c r="A320" s="161"/>
      <c r="B320" s="162"/>
      <c r="C320" s="162"/>
      <c r="D320" s="162"/>
      <c r="E320" s="162"/>
      <c r="F320" s="162"/>
      <c r="G320" s="163"/>
      <c r="H320" s="164"/>
      <c r="I320" s="165"/>
    </row>
    <row r="321" spans="1:9">
      <c r="A321" s="161"/>
      <c r="B321" s="162"/>
      <c r="C321" s="162"/>
      <c r="D321" s="162"/>
      <c r="E321" s="162"/>
      <c r="F321" s="162"/>
      <c r="G321" s="163"/>
      <c r="H321" s="164"/>
      <c r="I321" s="165"/>
    </row>
    <row r="322" spans="1:9">
      <c r="A322" s="161"/>
      <c r="B322" s="162"/>
      <c r="C322" s="162"/>
      <c r="D322" s="162"/>
      <c r="E322" s="162"/>
      <c r="F322" s="162"/>
      <c r="G322" s="163"/>
      <c r="H322" s="164"/>
      <c r="I322" s="165"/>
    </row>
    <row r="323" spans="1:9">
      <c r="A323" s="161"/>
      <c r="B323" s="162"/>
      <c r="C323" s="162"/>
      <c r="D323" s="162"/>
      <c r="E323" s="162"/>
      <c r="F323" s="162"/>
      <c r="G323" s="163"/>
      <c r="H323" s="164"/>
      <c r="I323" s="165"/>
    </row>
    <row r="324" spans="1:9">
      <c r="A324" s="161"/>
      <c r="B324" s="162"/>
      <c r="C324" s="162"/>
      <c r="D324" s="162"/>
      <c r="E324" s="162"/>
      <c r="F324" s="162"/>
      <c r="G324" s="163"/>
      <c r="H324" s="164"/>
      <c r="I324" s="165"/>
    </row>
    <row r="325" spans="1:9">
      <c r="A325" s="161"/>
      <c r="B325" s="162"/>
      <c r="C325" s="162"/>
      <c r="D325" s="162"/>
      <c r="E325" s="162"/>
      <c r="F325" s="162"/>
      <c r="G325" s="163"/>
      <c r="H325" s="164"/>
      <c r="I325" s="165"/>
    </row>
    <row r="326" spans="1:9">
      <c r="A326" s="161"/>
      <c r="B326" s="162"/>
      <c r="C326" s="162"/>
      <c r="D326" s="162"/>
      <c r="E326" s="162"/>
      <c r="F326" s="162"/>
      <c r="G326" s="163"/>
      <c r="H326" s="164"/>
      <c r="I326" s="165"/>
    </row>
    <row r="327" spans="1:9">
      <c r="A327" s="161"/>
      <c r="B327" s="162"/>
      <c r="C327" s="162"/>
      <c r="D327" s="162"/>
      <c r="E327" s="162"/>
      <c r="F327" s="162"/>
      <c r="G327" s="163"/>
      <c r="H327" s="164"/>
      <c r="I327" s="165"/>
    </row>
    <row r="328" spans="1:9">
      <c r="A328" s="161"/>
      <c r="B328" s="162"/>
      <c r="C328" s="162"/>
      <c r="D328" s="162"/>
      <c r="E328" s="162"/>
      <c r="F328" s="162"/>
      <c r="G328" s="163"/>
      <c r="H328" s="164"/>
      <c r="I328" s="165"/>
    </row>
    <row r="329" spans="1:9">
      <c r="A329" s="161"/>
      <c r="B329" s="162"/>
      <c r="C329" s="162"/>
      <c r="D329" s="162"/>
      <c r="E329" s="162"/>
      <c r="F329" s="162"/>
      <c r="G329" s="163"/>
      <c r="H329" s="164"/>
      <c r="I329" s="165"/>
    </row>
    <row r="330" spans="1:9">
      <c r="A330" s="161"/>
      <c r="B330" s="162"/>
      <c r="C330" s="162"/>
      <c r="D330" s="162"/>
      <c r="E330" s="162"/>
      <c r="F330" s="162"/>
      <c r="G330" s="163"/>
      <c r="H330" s="164"/>
      <c r="I330" s="165"/>
    </row>
    <row r="331" spans="1:9">
      <c r="A331" s="161"/>
      <c r="B331" s="162"/>
      <c r="C331" s="162"/>
      <c r="D331" s="162"/>
      <c r="E331" s="162"/>
      <c r="F331" s="162"/>
      <c r="G331" s="163"/>
      <c r="H331" s="164"/>
      <c r="I331" s="165"/>
    </row>
    <row r="332" spans="1:9">
      <c r="A332" s="161"/>
      <c r="B332" s="162"/>
      <c r="C332" s="162"/>
      <c r="D332" s="162"/>
      <c r="E332" s="162"/>
      <c r="F332" s="162"/>
      <c r="G332" s="163"/>
      <c r="H332" s="164"/>
      <c r="I332" s="165"/>
    </row>
    <row r="333" spans="1:9">
      <c r="A333" s="161"/>
      <c r="B333" s="162"/>
      <c r="C333" s="162"/>
      <c r="D333" s="162"/>
      <c r="E333" s="162"/>
      <c r="F333" s="162"/>
      <c r="G333" s="163"/>
      <c r="H333" s="164"/>
      <c r="I333" s="165"/>
    </row>
    <row r="334" spans="1:9">
      <c r="A334" s="161"/>
      <c r="B334" s="162"/>
      <c r="C334" s="162"/>
      <c r="D334" s="162"/>
      <c r="E334" s="162"/>
      <c r="F334" s="162"/>
      <c r="G334" s="163"/>
      <c r="H334" s="164"/>
      <c r="I334" s="165"/>
    </row>
    <row r="335" spans="1:9">
      <c r="A335" s="161"/>
      <c r="B335" s="162"/>
      <c r="C335" s="162"/>
      <c r="D335" s="162"/>
      <c r="E335" s="162"/>
      <c r="F335" s="162"/>
      <c r="G335" s="163"/>
      <c r="H335" s="164"/>
      <c r="I335" s="165"/>
    </row>
    <row r="336" spans="1:9">
      <c r="A336" s="161"/>
      <c r="B336" s="162"/>
      <c r="C336" s="162"/>
      <c r="D336" s="162"/>
      <c r="E336" s="162"/>
      <c r="F336" s="162"/>
      <c r="G336" s="163"/>
      <c r="H336" s="164"/>
      <c r="I336" s="165"/>
    </row>
    <row r="337" spans="1:9">
      <c r="A337" s="161"/>
      <c r="B337" s="162"/>
      <c r="C337" s="162"/>
      <c r="D337" s="162"/>
      <c r="E337" s="162"/>
      <c r="F337" s="162"/>
      <c r="G337" s="163"/>
      <c r="H337" s="164"/>
      <c r="I337" s="165"/>
    </row>
    <row r="338" spans="1:9">
      <c r="A338" s="161"/>
      <c r="B338" s="162"/>
      <c r="C338" s="162"/>
      <c r="D338" s="162"/>
      <c r="E338" s="162"/>
      <c r="F338" s="162"/>
      <c r="G338" s="163"/>
      <c r="H338" s="164"/>
      <c r="I338" s="165"/>
    </row>
    <row r="339" spans="1:9">
      <c r="A339" s="161"/>
      <c r="B339" s="162"/>
      <c r="C339" s="162"/>
      <c r="D339" s="162"/>
      <c r="E339" s="162"/>
      <c r="F339" s="162"/>
      <c r="G339" s="163"/>
      <c r="H339" s="164"/>
      <c r="I339" s="165"/>
    </row>
    <row r="340" spans="1:9">
      <c r="A340" s="161"/>
      <c r="B340" s="162"/>
      <c r="C340" s="162"/>
      <c r="D340" s="162"/>
      <c r="E340" s="162"/>
      <c r="F340" s="162"/>
      <c r="G340" s="163"/>
      <c r="H340" s="164"/>
      <c r="I340" s="165"/>
    </row>
    <row r="341" spans="1:9">
      <c r="A341" s="161"/>
      <c r="B341" s="162"/>
      <c r="C341" s="162"/>
      <c r="D341" s="162"/>
      <c r="E341" s="162"/>
      <c r="F341" s="162"/>
      <c r="G341" s="163"/>
      <c r="H341" s="164"/>
      <c r="I341" s="165"/>
    </row>
    <row r="342" spans="1:9">
      <c r="A342" s="161"/>
      <c r="B342" s="162"/>
      <c r="C342" s="162"/>
      <c r="D342" s="162"/>
      <c r="E342" s="162"/>
      <c r="F342" s="162"/>
      <c r="G342" s="163"/>
      <c r="H342" s="164"/>
      <c r="I342" s="165"/>
    </row>
    <row r="343" spans="1:9">
      <c r="A343" s="161"/>
      <c r="B343" s="162"/>
      <c r="C343" s="162"/>
      <c r="D343" s="162"/>
      <c r="E343" s="162"/>
      <c r="F343" s="162"/>
      <c r="G343" s="163"/>
      <c r="H343" s="164"/>
      <c r="I343" s="165"/>
    </row>
    <row r="344" spans="1:9">
      <c r="A344" s="161"/>
      <c r="B344" s="162"/>
      <c r="C344" s="162"/>
      <c r="D344" s="162"/>
      <c r="E344" s="162"/>
      <c r="F344" s="162"/>
      <c r="G344" s="163"/>
      <c r="H344" s="164"/>
      <c r="I344" s="165"/>
    </row>
    <row r="345" spans="1:9">
      <c r="A345" s="161"/>
      <c r="B345" s="162"/>
      <c r="C345" s="162"/>
      <c r="D345" s="162"/>
      <c r="E345" s="162"/>
      <c r="F345" s="162"/>
      <c r="G345" s="163"/>
      <c r="H345" s="164"/>
      <c r="I345" s="165"/>
    </row>
    <row r="346" spans="1:9">
      <c r="A346" s="161"/>
      <c r="B346" s="162"/>
      <c r="C346" s="162"/>
      <c r="D346" s="162"/>
      <c r="E346" s="162"/>
      <c r="F346" s="162"/>
      <c r="G346" s="163"/>
      <c r="H346" s="164"/>
      <c r="I346" s="165"/>
    </row>
    <row r="347" spans="1:9">
      <c r="A347" s="161"/>
      <c r="B347" s="162"/>
      <c r="C347" s="162"/>
      <c r="D347" s="162"/>
      <c r="E347" s="162"/>
      <c r="F347" s="162"/>
      <c r="G347" s="163"/>
      <c r="H347" s="164"/>
      <c r="I347" s="165"/>
    </row>
    <row r="348" spans="1:9">
      <c r="A348" s="161"/>
      <c r="B348" s="162"/>
      <c r="C348" s="162"/>
      <c r="D348" s="162"/>
      <c r="E348" s="162"/>
      <c r="F348" s="162"/>
      <c r="G348" s="163"/>
      <c r="H348" s="164"/>
      <c r="I348" s="165"/>
    </row>
    <row r="349" spans="1:9">
      <c r="A349" s="161"/>
      <c r="B349" s="162"/>
      <c r="C349" s="162"/>
      <c r="D349" s="162"/>
      <c r="E349" s="162"/>
      <c r="F349" s="162"/>
      <c r="G349" s="163"/>
      <c r="H349" s="164"/>
      <c r="I349" s="165"/>
    </row>
    <row r="350" spans="1:9">
      <c r="A350" s="161"/>
      <c r="B350" s="162"/>
      <c r="C350" s="162"/>
      <c r="D350" s="162"/>
      <c r="E350" s="162"/>
      <c r="F350" s="162"/>
      <c r="G350" s="163"/>
      <c r="H350" s="164"/>
      <c r="I350" s="165"/>
    </row>
    <row r="351" spans="1:9">
      <c r="A351" s="161"/>
      <c r="B351" s="162"/>
      <c r="C351" s="162"/>
      <c r="D351" s="162"/>
      <c r="E351" s="162"/>
      <c r="F351" s="162"/>
      <c r="G351" s="163"/>
      <c r="H351" s="164"/>
      <c r="I351" s="165"/>
    </row>
    <row r="352" spans="1:9">
      <c r="A352" s="161"/>
      <c r="B352" s="162"/>
      <c r="C352" s="162"/>
      <c r="D352" s="162"/>
      <c r="E352" s="162"/>
      <c r="F352" s="162"/>
      <c r="G352" s="163"/>
      <c r="H352" s="164"/>
      <c r="I352" s="165"/>
    </row>
    <row r="353" spans="1:9">
      <c r="A353" s="161"/>
      <c r="B353" s="162"/>
      <c r="C353" s="162"/>
      <c r="D353" s="162"/>
      <c r="E353" s="162"/>
      <c r="F353" s="162"/>
      <c r="G353" s="163"/>
      <c r="H353" s="164"/>
      <c r="I353" s="165"/>
    </row>
    <row r="354" spans="1:9">
      <c r="A354" s="161"/>
      <c r="B354" s="162"/>
      <c r="C354" s="162"/>
      <c r="D354" s="162"/>
      <c r="E354" s="162"/>
      <c r="F354" s="162"/>
      <c r="G354" s="163"/>
      <c r="H354" s="164"/>
      <c r="I354" s="165"/>
    </row>
    <row r="355" spans="1:9">
      <c r="A355" s="161"/>
      <c r="B355" s="162"/>
      <c r="C355" s="162"/>
      <c r="D355" s="162"/>
      <c r="E355" s="162"/>
      <c r="F355" s="162"/>
      <c r="G355" s="163"/>
      <c r="H355" s="164"/>
      <c r="I355" s="165"/>
    </row>
    <row r="356" spans="1:9">
      <c r="A356" s="161"/>
      <c r="B356" s="162"/>
      <c r="C356" s="162"/>
      <c r="D356" s="162"/>
      <c r="E356" s="162"/>
      <c r="F356" s="162"/>
      <c r="G356" s="163"/>
      <c r="H356" s="164"/>
      <c r="I356" s="165"/>
    </row>
    <row r="357" spans="1:9">
      <c r="A357" s="161"/>
      <c r="B357" s="162"/>
      <c r="C357" s="162"/>
      <c r="D357" s="162"/>
      <c r="E357" s="162"/>
      <c r="F357" s="162"/>
      <c r="G357" s="163"/>
      <c r="H357" s="164"/>
      <c r="I357" s="165"/>
    </row>
    <row r="358" spans="1:9">
      <c r="A358" s="161"/>
      <c r="B358" s="162"/>
      <c r="C358" s="162"/>
      <c r="D358" s="162"/>
      <c r="E358" s="162"/>
      <c r="F358" s="162"/>
      <c r="G358" s="163"/>
      <c r="H358" s="164"/>
      <c r="I358" s="165"/>
    </row>
    <row r="359" spans="1:9">
      <c r="A359" s="161"/>
      <c r="B359" s="162"/>
      <c r="C359" s="162"/>
      <c r="D359" s="162"/>
      <c r="E359" s="162"/>
      <c r="F359" s="162"/>
      <c r="G359" s="163"/>
      <c r="H359" s="164"/>
      <c r="I359" s="165"/>
    </row>
    <row r="360" spans="1:9">
      <c r="A360" s="161"/>
      <c r="B360" s="162"/>
      <c r="C360" s="162"/>
      <c r="D360" s="162"/>
      <c r="E360" s="162"/>
      <c r="F360" s="162"/>
      <c r="G360" s="163"/>
      <c r="H360" s="164"/>
      <c r="I360" s="165"/>
    </row>
    <row r="361" spans="1:9">
      <c r="A361" s="161"/>
      <c r="B361" s="162"/>
      <c r="C361" s="162"/>
      <c r="D361" s="162"/>
      <c r="E361" s="162"/>
      <c r="F361" s="162"/>
      <c r="G361" s="163"/>
      <c r="H361" s="164"/>
      <c r="I361" s="165"/>
    </row>
    <row r="362" spans="1:9">
      <c r="A362" s="161"/>
      <c r="B362" s="162"/>
      <c r="C362" s="162"/>
      <c r="D362" s="162"/>
      <c r="E362" s="162"/>
      <c r="F362" s="162"/>
      <c r="G362" s="163"/>
      <c r="H362" s="164"/>
      <c r="I362" s="165"/>
    </row>
    <row r="363" spans="1:9">
      <c r="A363" s="161"/>
      <c r="B363" s="162"/>
      <c r="C363" s="162"/>
      <c r="D363" s="162"/>
      <c r="E363" s="162"/>
      <c r="F363" s="162"/>
      <c r="G363" s="163"/>
      <c r="H363" s="164"/>
      <c r="I363" s="165"/>
    </row>
    <row r="364" spans="1:9">
      <c r="A364" s="161"/>
      <c r="B364" s="162"/>
      <c r="C364" s="162"/>
      <c r="D364" s="162"/>
      <c r="E364" s="162"/>
      <c r="F364" s="162"/>
      <c r="G364" s="163"/>
      <c r="H364" s="164"/>
      <c r="I364" s="165"/>
    </row>
    <row r="365" spans="1:9">
      <c r="A365" s="161"/>
      <c r="B365" s="162"/>
      <c r="C365" s="162"/>
      <c r="D365" s="162"/>
      <c r="E365" s="162"/>
      <c r="F365" s="162"/>
      <c r="G365" s="163"/>
      <c r="H365" s="164"/>
      <c r="I365" s="165"/>
    </row>
    <row r="366" spans="1:9">
      <c r="A366" s="161"/>
      <c r="B366" s="162"/>
      <c r="C366" s="162"/>
      <c r="D366" s="162"/>
      <c r="E366" s="162"/>
      <c r="F366" s="162"/>
      <c r="G366" s="163"/>
      <c r="H366" s="164"/>
      <c r="I366" s="165"/>
    </row>
    <row r="367" spans="1:9">
      <c r="A367" s="161"/>
      <c r="B367" s="162"/>
      <c r="C367" s="162"/>
      <c r="D367" s="162"/>
      <c r="E367" s="162"/>
      <c r="F367" s="162"/>
      <c r="G367" s="163"/>
      <c r="H367" s="164"/>
      <c r="I367" s="165"/>
    </row>
    <row r="368" spans="1:9">
      <c r="A368" s="161"/>
      <c r="B368" s="162"/>
      <c r="C368" s="162"/>
      <c r="D368" s="162"/>
      <c r="E368" s="162"/>
      <c r="F368" s="162"/>
      <c r="G368" s="163"/>
      <c r="H368" s="164"/>
      <c r="I368" s="165"/>
    </row>
    <row r="369" spans="1:9">
      <c r="A369" s="161"/>
      <c r="B369" s="162"/>
      <c r="C369" s="162"/>
      <c r="D369" s="162"/>
      <c r="E369" s="162"/>
      <c r="F369" s="162"/>
      <c r="G369" s="163"/>
      <c r="H369" s="164"/>
      <c r="I369" s="165"/>
    </row>
    <row r="370" spans="1:9">
      <c r="A370" s="161"/>
      <c r="B370" s="162"/>
      <c r="C370" s="162"/>
      <c r="D370" s="162"/>
      <c r="E370" s="162"/>
      <c r="F370" s="162"/>
      <c r="G370" s="163"/>
      <c r="H370" s="164"/>
      <c r="I370" s="165"/>
    </row>
    <row r="371" spans="1:9">
      <c r="A371" s="161"/>
      <c r="B371" s="162"/>
      <c r="C371" s="162"/>
      <c r="D371" s="162"/>
      <c r="E371" s="162"/>
      <c r="F371" s="162"/>
      <c r="G371" s="163"/>
      <c r="H371" s="164"/>
      <c r="I371" s="165"/>
    </row>
    <row r="372" spans="1:9">
      <c r="A372" s="161"/>
      <c r="B372" s="162"/>
      <c r="C372" s="162"/>
      <c r="D372" s="162"/>
      <c r="E372" s="162"/>
      <c r="F372" s="162"/>
      <c r="G372" s="163"/>
      <c r="H372" s="164"/>
      <c r="I372" s="165"/>
    </row>
    <row r="373" spans="1:9">
      <c r="A373" s="161"/>
      <c r="B373" s="162"/>
      <c r="C373" s="162"/>
      <c r="D373" s="162"/>
      <c r="E373" s="162"/>
      <c r="F373" s="162"/>
      <c r="G373" s="163"/>
      <c r="H373" s="164"/>
      <c r="I373" s="165"/>
    </row>
    <row r="374" spans="1:9">
      <c r="A374" s="161"/>
      <c r="B374" s="162"/>
      <c r="C374" s="162"/>
      <c r="D374" s="162"/>
      <c r="E374" s="162"/>
      <c r="F374" s="162"/>
      <c r="G374" s="163"/>
      <c r="H374" s="164"/>
      <c r="I374" s="165"/>
    </row>
    <row r="375" spans="1:9">
      <c r="A375" s="161"/>
      <c r="B375" s="162"/>
      <c r="C375" s="162"/>
      <c r="D375" s="162"/>
      <c r="E375" s="162"/>
      <c r="F375" s="162"/>
      <c r="G375" s="163"/>
      <c r="H375" s="164"/>
      <c r="I375" s="165"/>
    </row>
    <row r="376" spans="1:9">
      <c r="A376" s="161"/>
      <c r="B376" s="162"/>
      <c r="C376" s="162"/>
      <c r="D376" s="162"/>
      <c r="E376" s="162"/>
      <c r="F376" s="162"/>
      <c r="G376" s="163"/>
      <c r="H376" s="164"/>
      <c r="I376" s="165"/>
    </row>
    <row r="377" spans="1:9">
      <c r="A377" s="161"/>
      <c r="B377" s="162"/>
      <c r="C377" s="162"/>
      <c r="D377" s="162"/>
      <c r="E377" s="162"/>
      <c r="F377" s="162"/>
      <c r="G377" s="163"/>
      <c r="H377" s="164"/>
      <c r="I377" s="165"/>
    </row>
    <row r="378" spans="1:9">
      <c r="A378" s="161"/>
      <c r="B378" s="162"/>
      <c r="C378" s="162"/>
      <c r="D378" s="162"/>
      <c r="E378" s="162"/>
      <c r="F378" s="162"/>
      <c r="G378" s="163"/>
      <c r="H378" s="164"/>
      <c r="I378" s="165"/>
    </row>
    <row r="379" spans="1:9">
      <c r="A379" s="161"/>
      <c r="B379" s="162"/>
      <c r="C379" s="162"/>
      <c r="D379" s="162"/>
      <c r="E379" s="162"/>
      <c r="F379" s="162"/>
      <c r="G379" s="163"/>
      <c r="H379" s="164"/>
      <c r="I379" s="165"/>
    </row>
    <row r="380" spans="1:9">
      <c r="A380" s="161"/>
      <c r="B380" s="162"/>
      <c r="C380" s="162"/>
      <c r="D380" s="162"/>
      <c r="E380" s="162"/>
      <c r="F380" s="162"/>
      <c r="G380" s="163"/>
      <c r="H380" s="164"/>
      <c r="I380" s="165"/>
    </row>
    <row r="381" spans="1:9">
      <c r="A381" s="161"/>
      <c r="B381" s="162"/>
      <c r="C381" s="162"/>
      <c r="D381" s="162"/>
      <c r="E381" s="162"/>
      <c r="F381" s="162"/>
      <c r="G381" s="163"/>
      <c r="H381" s="164"/>
      <c r="I381" s="165"/>
    </row>
    <row r="382" spans="1:9">
      <c r="A382" s="161"/>
      <c r="B382" s="162"/>
      <c r="C382" s="162"/>
      <c r="D382" s="162"/>
      <c r="E382" s="162"/>
      <c r="F382" s="162"/>
      <c r="G382" s="163"/>
      <c r="H382" s="164"/>
      <c r="I382" s="165"/>
    </row>
    <row r="383" spans="1:9">
      <c r="A383" s="161"/>
      <c r="B383" s="162"/>
      <c r="C383" s="162"/>
      <c r="D383" s="162"/>
      <c r="E383" s="162"/>
      <c r="F383" s="162"/>
      <c r="G383" s="163"/>
      <c r="H383" s="164"/>
      <c r="I383" s="165"/>
    </row>
    <row r="384" spans="1:9">
      <c r="A384" s="161"/>
      <c r="B384" s="162"/>
      <c r="C384" s="162"/>
      <c r="D384" s="162"/>
      <c r="E384" s="162"/>
      <c r="F384" s="162"/>
      <c r="G384" s="163"/>
      <c r="H384" s="164"/>
      <c r="I384" s="165"/>
    </row>
    <row r="385" spans="1:9">
      <c r="A385" s="161"/>
      <c r="B385" s="162"/>
      <c r="C385" s="162"/>
      <c r="D385" s="162"/>
      <c r="E385" s="162"/>
      <c r="F385" s="162"/>
      <c r="G385" s="163"/>
      <c r="H385" s="164"/>
      <c r="I385" s="165"/>
    </row>
    <row r="386" spans="1:9">
      <c r="A386" s="161"/>
      <c r="B386" s="162"/>
      <c r="C386" s="162"/>
      <c r="D386" s="162"/>
      <c r="E386" s="162"/>
      <c r="F386" s="162"/>
      <c r="G386" s="163"/>
      <c r="H386" s="164"/>
      <c r="I386" s="165"/>
    </row>
    <row r="387" spans="1:9">
      <c r="A387" s="161"/>
      <c r="B387" s="162"/>
      <c r="C387" s="162"/>
      <c r="D387" s="162"/>
      <c r="E387" s="162"/>
      <c r="F387" s="162"/>
      <c r="G387" s="163"/>
      <c r="H387" s="164"/>
      <c r="I387" s="165"/>
    </row>
    <row r="388" spans="1:9">
      <c r="A388" s="161"/>
      <c r="B388" s="162"/>
      <c r="C388" s="162"/>
      <c r="D388" s="162"/>
      <c r="E388" s="162"/>
      <c r="F388" s="162"/>
      <c r="G388" s="163"/>
      <c r="H388" s="164"/>
      <c r="I388" s="165"/>
    </row>
    <row r="389" spans="1:9">
      <c r="A389" s="161"/>
      <c r="B389" s="162"/>
      <c r="C389" s="162"/>
      <c r="D389" s="162"/>
      <c r="E389" s="162"/>
      <c r="F389" s="162"/>
      <c r="G389" s="163"/>
      <c r="H389" s="164"/>
      <c r="I389" s="165"/>
    </row>
    <row r="390" spans="1:9">
      <c r="A390" s="161"/>
      <c r="B390" s="162"/>
      <c r="C390" s="162"/>
      <c r="D390" s="162"/>
      <c r="E390" s="162"/>
      <c r="F390" s="162"/>
      <c r="G390" s="163"/>
      <c r="H390" s="164"/>
      <c r="I390" s="165"/>
    </row>
    <row r="391" spans="1:9">
      <c r="A391" s="161"/>
      <c r="B391" s="162"/>
      <c r="C391" s="162"/>
      <c r="D391" s="162"/>
      <c r="E391" s="162"/>
      <c r="F391" s="162"/>
      <c r="G391" s="163"/>
      <c r="H391" s="164"/>
      <c r="I391" s="165"/>
    </row>
    <row r="392" spans="1:9">
      <c r="A392" s="161"/>
      <c r="B392" s="162"/>
      <c r="C392" s="162"/>
      <c r="D392" s="162"/>
      <c r="E392" s="162"/>
      <c r="F392" s="162"/>
      <c r="G392" s="163"/>
      <c r="H392" s="164"/>
      <c r="I392" s="165"/>
    </row>
    <row r="393" spans="1:9">
      <c r="A393" s="161"/>
      <c r="B393" s="162"/>
      <c r="C393" s="162"/>
      <c r="D393" s="162"/>
      <c r="E393" s="162"/>
      <c r="F393" s="162"/>
      <c r="G393" s="163"/>
      <c r="H393" s="164"/>
      <c r="I393" s="165"/>
    </row>
    <row r="394" spans="1:9">
      <c r="A394" s="161"/>
      <c r="B394" s="162"/>
      <c r="C394" s="162"/>
      <c r="D394" s="162"/>
      <c r="E394" s="162"/>
      <c r="F394" s="162"/>
      <c r="G394" s="163"/>
      <c r="H394" s="164"/>
      <c r="I394" s="165"/>
    </row>
    <row r="395" spans="1:9">
      <c r="A395" s="161"/>
      <c r="B395" s="162"/>
      <c r="C395" s="162"/>
      <c r="D395" s="162"/>
      <c r="E395" s="162"/>
      <c r="F395" s="162"/>
      <c r="G395" s="163"/>
      <c r="H395" s="164"/>
      <c r="I395" s="165"/>
    </row>
    <row r="396" spans="1:9">
      <c r="A396" s="161"/>
      <c r="B396" s="162"/>
      <c r="C396" s="162"/>
      <c r="D396" s="162"/>
      <c r="E396" s="162"/>
      <c r="F396" s="162"/>
      <c r="G396" s="163"/>
      <c r="H396" s="164"/>
      <c r="I396" s="165"/>
    </row>
    <row r="397" spans="1:9">
      <c r="A397" s="161"/>
      <c r="B397" s="162"/>
      <c r="C397" s="162"/>
      <c r="D397" s="162"/>
      <c r="E397" s="162"/>
      <c r="F397" s="162"/>
      <c r="G397" s="163"/>
      <c r="H397" s="164"/>
      <c r="I397" s="165"/>
    </row>
    <row r="398" spans="1:9">
      <c r="A398" s="161"/>
      <c r="B398" s="162"/>
      <c r="C398" s="162"/>
      <c r="D398" s="162"/>
      <c r="E398" s="162"/>
      <c r="F398" s="162"/>
      <c r="G398" s="163"/>
      <c r="H398" s="164"/>
      <c r="I398" s="165"/>
    </row>
    <row r="399" spans="1:9">
      <c r="A399" s="161"/>
      <c r="B399" s="162"/>
      <c r="C399" s="162"/>
      <c r="D399" s="162"/>
      <c r="E399" s="162"/>
      <c r="F399" s="162"/>
      <c r="G399" s="163"/>
      <c r="H399" s="164"/>
      <c r="I399" s="165"/>
    </row>
    <row r="400" spans="1:9">
      <c r="A400" s="161"/>
      <c r="B400" s="162"/>
      <c r="C400" s="162"/>
      <c r="D400" s="162"/>
      <c r="E400" s="162"/>
      <c r="F400" s="162"/>
      <c r="G400" s="163"/>
      <c r="H400" s="164"/>
      <c r="I400" s="165"/>
    </row>
    <row r="401" spans="1:9">
      <c r="A401" s="161"/>
      <c r="B401" s="162"/>
      <c r="C401" s="162"/>
      <c r="D401" s="162"/>
      <c r="E401" s="162"/>
      <c r="F401" s="162"/>
      <c r="G401" s="163"/>
      <c r="H401" s="164"/>
      <c r="I401" s="165"/>
    </row>
    <row r="402" spans="1:9">
      <c r="A402" s="161"/>
      <c r="B402" s="162"/>
      <c r="C402" s="162"/>
      <c r="D402" s="162"/>
      <c r="E402" s="162"/>
      <c r="F402" s="162"/>
      <c r="G402" s="163"/>
      <c r="H402" s="164"/>
      <c r="I402" s="165"/>
    </row>
    <row r="403" spans="1:9">
      <c r="A403" s="161"/>
      <c r="B403" s="162"/>
      <c r="C403" s="162"/>
      <c r="D403" s="162"/>
      <c r="E403" s="162"/>
      <c r="F403" s="162"/>
      <c r="G403" s="163"/>
      <c r="H403" s="164"/>
      <c r="I403" s="165"/>
    </row>
    <row r="404" spans="1:9">
      <c r="A404" s="161"/>
      <c r="B404" s="162"/>
      <c r="C404" s="162"/>
      <c r="D404" s="162"/>
      <c r="E404" s="162"/>
      <c r="F404" s="162"/>
      <c r="G404" s="163"/>
      <c r="H404" s="164"/>
      <c r="I404" s="165"/>
    </row>
    <row r="405" spans="1:9">
      <c r="A405" s="161"/>
      <c r="B405" s="162"/>
      <c r="C405" s="162"/>
      <c r="D405" s="162"/>
      <c r="E405" s="162"/>
      <c r="F405" s="162"/>
      <c r="G405" s="163"/>
      <c r="H405" s="164"/>
      <c r="I405" s="165"/>
    </row>
    <row r="406" spans="1:9">
      <c r="A406" s="161"/>
      <c r="B406" s="162"/>
      <c r="C406" s="162"/>
      <c r="D406" s="162"/>
      <c r="E406" s="162"/>
      <c r="F406" s="162"/>
      <c r="G406" s="163"/>
      <c r="H406" s="164"/>
      <c r="I406" s="165"/>
    </row>
    <row r="407" spans="1:9">
      <c r="A407" s="161"/>
      <c r="B407" s="162"/>
      <c r="C407" s="162"/>
      <c r="D407" s="162"/>
      <c r="E407" s="162"/>
      <c r="F407" s="162"/>
      <c r="G407" s="163"/>
      <c r="H407" s="164"/>
      <c r="I407" s="165"/>
    </row>
    <row r="408" spans="1:9">
      <c r="A408" s="161"/>
      <c r="B408" s="162"/>
      <c r="C408" s="162"/>
      <c r="D408" s="162"/>
      <c r="E408" s="162"/>
      <c r="F408" s="162"/>
      <c r="G408" s="163"/>
      <c r="H408" s="164"/>
      <c r="I408" s="165"/>
    </row>
    <row r="409" spans="1:9">
      <c r="A409" s="161"/>
      <c r="B409" s="162"/>
      <c r="C409" s="162"/>
      <c r="D409" s="162"/>
      <c r="E409" s="162"/>
      <c r="F409" s="162"/>
      <c r="G409" s="163"/>
      <c r="H409" s="164"/>
      <c r="I409" s="165"/>
    </row>
    <row r="410" spans="1:9">
      <c r="A410" s="161"/>
      <c r="B410" s="162"/>
      <c r="C410" s="162"/>
      <c r="D410" s="162"/>
      <c r="E410" s="162"/>
      <c r="F410" s="162"/>
      <c r="G410" s="163"/>
      <c r="H410" s="164"/>
      <c r="I410" s="165"/>
    </row>
    <row r="411" spans="1:9">
      <c r="A411" s="161"/>
      <c r="B411" s="162"/>
      <c r="C411" s="162"/>
      <c r="D411" s="162"/>
      <c r="E411" s="162"/>
      <c r="F411" s="162"/>
      <c r="G411" s="163"/>
      <c r="H411" s="164"/>
      <c r="I411" s="165"/>
    </row>
    <row r="412" spans="1:9">
      <c r="A412" s="161"/>
      <c r="B412" s="162"/>
      <c r="C412" s="162"/>
      <c r="D412" s="162"/>
      <c r="E412" s="162"/>
      <c r="F412" s="162"/>
      <c r="G412" s="163"/>
      <c r="H412" s="164"/>
      <c r="I412" s="165"/>
    </row>
    <row r="413" spans="1:9">
      <c r="A413" s="161"/>
      <c r="B413" s="162"/>
      <c r="C413" s="162"/>
      <c r="D413" s="162"/>
      <c r="E413" s="162"/>
      <c r="F413" s="162"/>
      <c r="G413" s="163"/>
      <c r="H413" s="164"/>
      <c r="I413" s="165"/>
    </row>
    <row r="414" spans="1:9">
      <c r="A414" s="161"/>
      <c r="B414" s="162"/>
      <c r="C414" s="162"/>
      <c r="D414" s="162"/>
      <c r="E414" s="162"/>
      <c r="F414" s="162"/>
      <c r="G414" s="163"/>
      <c r="H414" s="164"/>
      <c r="I414" s="165"/>
    </row>
    <row r="415" spans="1:9">
      <c r="A415" s="161"/>
      <c r="B415" s="162"/>
      <c r="C415" s="162"/>
      <c r="D415" s="162"/>
      <c r="E415" s="162"/>
      <c r="F415" s="162"/>
      <c r="G415" s="163"/>
      <c r="H415" s="164"/>
      <c r="I415" s="165"/>
    </row>
    <row r="416" spans="1:9">
      <c r="A416" s="161"/>
      <c r="B416" s="162"/>
      <c r="C416" s="162"/>
      <c r="D416" s="162"/>
      <c r="E416" s="162"/>
      <c r="F416" s="162"/>
      <c r="G416" s="163"/>
      <c r="H416" s="164"/>
      <c r="I416" s="165"/>
    </row>
    <row r="417" spans="1:9">
      <c r="A417" s="161"/>
      <c r="B417" s="162"/>
      <c r="C417" s="162"/>
      <c r="D417" s="162"/>
      <c r="E417" s="162"/>
      <c r="F417" s="162"/>
      <c r="G417" s="163"/>
      <c r="H417" s="164"/>
      <c r="I417" s="165"/>
    </row>
    <row r="418" spans="1:9">
      <c r="A418" s="161"/>
      <c r="B418" s="162"/>
      <c r="C418" s="162"/>
      <c r="D418" s="162"/>
      <c r="E418" s="162"/>
      <c r="F418" s="162"/>
      <c r="G418" s="163"/>
      <c r="H418" s="164"/>
      <c r="I418" s="165"/>
    </row>
    <row r="419" spans="1:9">
      <c r="A419" s="161"/>
      <c r="B419" s="162"/>
      <c r="C419" s="162"/>
      <c r="D419" s="162"/>
      <c r="E419" s="162"/>
      <c r="F419" s="162"/>
      <c r="G419" s="163"/>
      <c r="H419" s="164"/>
      <c r="I419" s="165"/>
    </row>
    <row r="420" spans="1:9">
      <c r="A420" s="161"/>
      <c r="B420" s="162"/>
      <c r="C420" s="162"/>
      <c r="D420" s="162"/>
      <c r="E420" s="162"/>
      <c r="F420" s="162"/>
      <c r="G420" s="163"/>
      <c r="H420" s="164"/>
      <c r="I420" s="165"/>
    </row>
    <row r="421" spans="1:9">
      <c r="A421" s="161"/>
      <c r="B421" s="162"/>
      <c r="C421" s="162"/>
      <c r="D421" s="162"/>
      <c r="E421" s="162"/>
      <c r="F421" s="162"/>
      <c r="G421" s="163"/>
      <c r="H421" s="164"/>
      <c r="I421" s="165"/>
    </row>
    <row r="422" spans="1:9">
      <c r="A422" s="161"/>
      <c r="B422" s="162"/>
      <c r="C422" s="162"/>
      <c r="D422" s="162"/>
      <c r="E422" s="162"/>
      <c r="F422" s="162"/>
      <c r="G422" s="163"/>
      <c r="H422" s="164"/>
      <c r="I422" s="165"/>
    </row>
    <row r="423" spans="1:9">
      <c r="A423" s="161"/>
      <c r="B423" s="162"/>
      <c r="C423" s="162"/>
      <c r="D423" s="162"/>
      <c r="E423" s="162"/>
      <c r="F423" s="162"/>
      <c r="G423" s="163"/>
      <c r="H423" s="164"/>
      <c r="I423" s="165"/>
    </row>
    <row r="424" spans="1:9">
      <c r="A424" s="161"/>
      <c r="B424" s="162"/>
      <c r="C424" s="162"/>
      <c r="D424" s="162"/>
      <c r="E424" s="162"/>
      <c r="F424" s="162"/>
      <c r="G424" s="163"/>
      <c r="H424" s="164"/>
      <c r="I424" s="165"/>
    </row>
    <row r="425" spans="1:9">
      <c r="A425" s="161"/>
      <c r="B425" s="162"/>
      <c r="C425" s="162"/>
      <c r="D425" s="162"/>
      <c r="E425" s="162"/>
      <c r="F425" s="162"/>
      <c r="G425" s="163"/>
      <c r="H425" s="164"/>
      <c r="I425" s="165"/>
    </row>
    <row r="426" spans="1:9">
      <c r="A426" s="161"/>
      <c r="B426" s="162"/>
      <c r="C426" s="162"/>
      <c r="D426" s="162"/>
      <c r="E426" s="162"/>
      <c r="F426" s="162"/>
      <c r="G426" s="163"/>
      <c r="H426" s="164"/>
      <c r="I426" s="165"/>
    </row>
    <row r="427" spans="1:9">
      <c r="A427" s="161"/>
      <c r="B427" s="162"/>
      <c r="C427" s="162"/>
      <c r="D427" s="162"/>
      <c r="E427" s="162"/>
      <c r="F427" s="162"/>
      <c r="G427" s="163"/>
      <c r="H427" s="164"/>
      <c r="I427" s="165"/>
    </row>
    <row r="428" spans="1:9">
      <c r="A428" s="161"/>
      <c r="B428" s="162"/>
      <c r="C428" s="162"/>
      <c r="D428" s="162"/>
      <c r="E428" s="162"/>
      <c r="F428" s="162"/>
      <c r="G428" s="163"/>
      <c r="H428" s="164"/>
      <c r="I428" s="165"/>
    </row>
    <row r="429" spans="1:9">
      <c r="A429" s="161"/>
      <c r="B429" s="162"/>
      <c r="C429" s="162"/>
      <c r="D429" s="162"/>
      <c r="E429" s="162"/>
      <c r="F429" s="162"/>
      <c r="G429" s="163"/>
      <c r="H429" s="164"/>
      <c r="I429" s="165"/>
    </row>
    <row r="430" spans="1:9">
      <c r="A430" s="161"/>
      <c r="B430" s="162"/>
      <c r="C430" s="162"/>
      <c r="D430" s="162"/>
      <c r="E430" s="162"/>
      <c r="F430" s="162"/>
      <c r="G430" s="163"/>
      <c r="H430" s="164"/>
      <c r="I430" s="165"/>
    </row>
    <row r="431" spans="1:9">
      <c r="A431" s="161"/>
      <c r="B431" s="162"/>
      <c r="C431" s="162"/>
      <c r="D431" s="162"/>
      <c r="E431" s="162"/>
      <c r="F431" s="162"/>
      <c r="G431" s="163"/>
      <c r="H431" s="164"/>
      <c r="I431" s="165"/>
    </row>
    <row r="432" spans="1:9">
      <c r="A432" s="161"/>
      <c r="B432" s="162"/>
      <c r="C432" s="162"/>
      <c r="D432" s="162"/>
      <c r="E432" s="162"/>
      <c r="F432" s="162"/>
      <c r="G432" s="163"/>
      <c r="H432" s="164"/>
      <c r="I432" s="165"/>
    </row>
    <row r="433" spans="1:9">
      <c r="A433" s="161"/>
      <c r="B433" s="162"/>
      <c r="C433" s="162"/>
      <c r="D433" s="162"/>
      <c r="E433" s="162"/>
      <c r="F433" s="162"/>
      <c r="G433" s="163"/>
      <c r="H433" s="164"/>
      <c r="I433" s="165"/>
    </row>
    <row r="434" spans="1:9">
      <c r="A434" s="161"/>
      <c r="B434" s="162"/>
      <c r="C434" s="162"/>
      <c r="D434" s="162"/>
      <c r="E434" s="162"/>
      <c r="F434" s="162"/>
      <c r="G434" s="163"/>
      <c r="H434" s="164"/>
      <c r="I434" s="165"/>
    </row>
    <row r="435" spans="1:9">
      <c r="A435" s="161"/>
      <c r="B435" s="162"/>
      <c r="C435" s="162"/>
      <c r="D435" s="162"/>
      <c r="E435" s="162"/>
      <c r="F435" s="162"/>
      <c r="G435" s="163"/>
      <c r="H435" s="164"/>
      <c r="I435" s="165"/>
    </row>
    <row r="436" spans="1:9">
      <c r="A436" s="161"/>
      <c r="B436" s="162"/>
      <c r="C436" s="162"/>
      <c r="D436" s="162"/>
      <c r="E436" s="162"/>
      <c r="F436" s="162"/>
      <c r="G436" s="163"/>
      <c r="H436" s="164"/>
      <c r="I436" s="165"/>
    </row>
    <row r="437" spans="1:9">
      <c r="A437" s="161"/>
      <c r="B437" s="162"/>
      <c r="C437" s="162"/>
      <c r="D437" s="162"/>
      <c r="E437" s="162"/>
      <c r="F437" s="162"/>
      <c r="G437" s="163"/>
      <c r="H437" s="164"/>
      <c r="I437" s="165"/>
    </row>
    <row r="438" spans="1:9">
      <c r="A438" s="161"/>
      <c r="B438" s="162"/>
      <c r="C438" s="162"/>
      <c r="D438" s="162"/>
      <c r="E438" s="162"/>
      <c r="F438" s="162"/>
      <c r="G438" s="163"/>
      <c r="H438" s="164"/>
      <c r="I438" s="165"/>
    </row>
    <row r="439" spans="1:9">
      <c r="A439" s="161"/>
      <c r="B439" s="162"/>
      <c r="C439" s="162"/>
      <c r="D439" s="162"/>
      <c r="E439" s="162"/>
      <c r="F439" s="162"/>
      <c r="G439" s="163"/>
      <c r="H439" s="164"/>
      <c r="I439" s="165"/>
    </row>
    <row r="440" spans="1:9">
      <c r="A440" s="161"/>
      <c r="B440" s="162"/>
      <c r="C440" s="162"/>
      <c r="D440" s="162"/>
      <c r="E440" s="162"/>
      <c r="F440" s="162"/>
      <c r="G440" s="163"/>
      <c r="H440" s="164"/>
      <c r="I440" s="165"/>
    </row>
    <row r="441" spans="1:9">
      <c r="A441" s="161"/>
      <c r="B441" s="162"/>
      <c r="C441" s="162"/>
      <c r="D441" s="162"/>
      <c r="E441" s="162"/>
      <c r="F441" s="162"/>
      <c r="G441" s="163"/>
      <c r="H441" s="164"/>
      <c r="I441" s="165"/>
    </row>
    <row r="442" spans="1:9">
      <c r="A442" s="161"/>
      <c r="B442" s="162"/>
      <c r="C442" s="162"/>
      <c r="D442" s="162"/>
      <c r="E442" s="162"/>
      <c r="F442" s="162"/>
      <c r="G442" s="163"/>
      <c r="H442" s="164"/>
      <c r="I442" s="165"/>
    </row>
    <row r="443" spans="1:9">
      <c r="A443" s="161"/>
      <c r="B443" s="162"/>
      <c r="C443" s="162"/>
      <c r="D443" s="162"/>
      <c r="E443" s="162"/>
      <c r="F443" s="162"/>
      <c r="G443" s="163"/>
      <c r="H443" s="164"/>
      <c r="I443" s="165"/>
    </row>
    <row r="444" spans="1:9">
      <c r="A444" s="161"/>
      <c r="B444" s="162"/>
      <c r="C444" s="162"/>
      <c r="D444" s="162"/>
      <c r="E444" s="162"/>
      <c r="F444" s="162"/>
      <c r="G444" s="163"/>
      <c r="H444" s="164"/>
      <c r="I444" s="165"/>
    </row>
    <row r="445" spans="1:9">
      <c r="A445" s="161"/>
      <c r="B445" s="162"/>
      <c r="C445" s="162"/>
      <c r="D445" s="162"/>
      <c r="E445" s="162"/>
      <c r="F445" s="162"/>
      <c r="G445" s="163"/>
      <c r="H445" s="164"/>
      <c r="I445" s="165"/>
    </row>
    <row r="446" spans="1:9">
      <c r="A446" s="161"/>
      <c r="B446" s="162"/>
      <c r="C446" s="162"/>
      <c r="D446" s="162"/>
      <c r="E446" s="162"/>
      <c r="F446" s="162"/>
      <c r="G446" s="163"/>
      <c r="H446" s="164"/>
      <c r="I446" s="165"/>
    </row>
    <row r="447" spans="1:9">
      <c r="A447" s="161"/>
      <c r="B447" s="162"/>
      <c r="C447" s="162"/>
      <c r="D447" s="162"/>
      <c r="E447" s="162"/>
      <c r="F447" s="162"/>
      <c r="G447" s="163"/>
      <c r="H447" s="164"/>
      <c r="I447" s="165"/>
    </row>
    <row r="448" spans="1:9">
      <c r="A448" s="161"/>
      <c r="B448" s="162"/>
      <c r="C448" s="162"/>
      <c r="D448" s="162"/>
      <c r="E448" s="162"/>
      <c r="F448" s="162"/>
      <c r="G448" s="163"/>
      <c r="H448" s="164"/>
      <c r="I448" s="165"/>
    </row>
    <row r="449" spans="1:9">
      <c r="A449" s="161"/>
      <c r="B449" s="162"/>
      <c r="C449" s="162"/>
      <c r="D449" s="162"/>
      <c r="E449" s="162"/>
      <c r="F449" s="162"/>
      <c r="G449" s="163"/>
      <c r="H449" s="164"/>
      <c r="I449" s="165"/>
    </row>
    <row r="450" spans="1:9">
      <c r="A450" s="161"/>
      <c r="B450" s="162"/>
      <c r="C450" s="162"/>
      <c r="D450" s="162"/>
      <c r="E450" s="162"/>
      <c r="F450" s="162"/>
      <c r="G450" s="163"/>
      <c r="H450" s="164"/>
      <c r="I450" s="165"/>
    </row>
    <row r="451" spans="1:9">
      <c r="A451" s="161"/>
      <c r="B451" s="162"/>
      <c r="C451" s="162"/>
      <c r="D451" s="162"/>
      <c r="E451" s="162"/>
      <c r="F451" s="162"/>
      <c r="G451" s="163"/>
      <c r="H451" s="164"/>
      <c r="I451" s="165"/>
    </row>
    <row r="452" spans="1:9">
      <c r="A452" s="161"/>
      <c r="B452" s="162"/>
      <c r="C452" s="162"/>
      <c r="D452" s="162"/>
      <c r="E452" s="162"/>
      <c r="F452" s="162"/>
      <c r="G452" s="163"/>
      <c r="H452" s="164"/>
      <c r="I452" s="165"/>
    </row>
    <row r="453" spans="1:9">
      <c r="A453" s="161"/>
      <c r="B453" s="162"/>
      <c r="C453" s="162"/>
      <c r="D453" s="162"/>
      <c r="E453" s="162"/>
      <c r="F453" s="162"/>
      <c r="G453" s="163"/>
      <c r="H453" s="164"/>
      <c r="I453" s="165"/>
    </row>
    <row r="454" spans="1:9">
      <c r="A454" s="161"/>
      <c r="B454" s="162"/>
      <c r="C454" s="162"/>
      <c r="D454" s="162"/>
      <c r="E454" s="162"/>
      <c r="F454" s="162"/>
      <c r="G454" s="163"/>
      <c r="H454" s="164"/>
      <c r="I454" s="165"/>
    </row>
    <row r="455" spans="1:9">
      <c r="A455" s="161"/>
      <c r="B455" s="162"/>
      <c r="C455" s="162"/>
      <c r="D455" s="162"/>
      <c r="E455" s="162"/>
      <c r="F455" s="162"/>
      <c r="G455" s="163"/>
      <c r="H455" s="164"/>
      <c r="I455" s="165"/>
    </row>
    <row r="456" spans="1:9">
      <c r="A456" s="161"/>
      <c r="B456" s="162"/>
      <c r="C456" s="162"/>
      <c r="D456" s="162"/>
      <c r="E456" s="162"/>
      <c r="F456" s="162"/>
      <c r="G456" s="163"/>
      <c r="H456" s="164"/>
      <c r="I456" s="165"/>
    </row>
    <row r="457" spans="1:9">
      <c r="A457" s="161"/>
      <c r="B457" s="162"/>
      <c r="C457" s="162"/>
      <c r="D457" s="162"/>
      <c r="E457" s="162"/>
      <c r="F457" s="162"/>
      <c r="G457" s="163"/>
      <c r="H457" s="164"/>
      <c r="I457" s="165"/>
    </row>
    <row r="458" spans="1:9">
      <c r="A458" s="161"/>
      <c r="B458" s="162"/>
      <c r="C458" s="162"/>
      <c r="D458" s="162"/>
      <c r="E458" s="162"/>
      <c r="F458" s="162"/>
      <c r="G458" s="163"/>
      <c r="H458" s="164"/>
      <c r="I458" s="165"/>
    </row>
    <row r="459" spans="1:9">
      <c r="A459" s="161"/>
      <c r="B459" s="162"/>
      <c r="C459" s="162"/>
      <c r="D459" s="162"/>
      <c r="E459" s="162"/>
      <c r="F459" s="162"/>
      <c r="G459" s="163"/>
      <c r="H459" s="164"/>
      <c r="I459" s="165"/>
    </row>
    <row r="460" spans="1:9">
      <c r="A460" s="161"/>
      <c r="B460" s="162"/>
      <c r="C460" s="162"/>
      <c r="D460" s="162"/>
      <c r="E460" s="162"/>
      <c r="F460" s="162"/>
      <c r="G460" s="163"/>
      <c r="H460" s="164"/>
      <c r="I460" s="165"/>
    </row>
    <row r="461" spans="1:9">
      <c r="A461" s="161"/>
      <c r="B461" s="162"/>
      <c r="C461" s="162"/>
      <c r="D461" s="162"/>
      <c r="E461" s="162"/>
      <c r="F461" s="162"/>
      <c r="G461" s="163"/>
      <c r="H461" s="164"/>
      <c r="I461" s="165"/>
    </row>
    <row r="462" spans="1:9">
      <c r="A462" s="161"/>
      <c r="B462" s="162"/>
      <c r="C462" s="162"/>
      <c r="D462" s="162"/>
      <c r="E462" s="162"/>
      <c r="F462" s="162"/>
      <c r="G462" s="163"/>
      <c r="H462" s="164"/>
      <c r="I462" s="165"/>
    </row>
    <row r="463" spans="1:9">
      <c r="A463" s="161"/>
      <c r="B463" s="162"/>
      <c r="C463" s="162"/>
      <c r="D463" s="162"/>
      <c r="E463" s="162"/>
      <c r="F463" s="162"/>
      <c r="G463" s="163"/>
      <c r="H463" s="164"/>
      <c r="I463" s="165"/>
    </row>
    <row r="464" spans="1:9">
      <c r="A464" s="161"/>
      <c r="B464" s="162"/>
      <c r="C464" s="162"/>
      <c r="D464" s="162"/>
      <c r="E464" s="162"/>
      <c r="F464" s="162"/>
      <c r="G464" s="163"/>
      <c r="H464" s="164"/>
      <c r="I464" s="165"/>
    </row>
    <row r="465" spans="1:9">
      <c r="A465" s="161"/>
      <c r="B465" s="162"/>
      <c r="C465" s="162"/>
      <c r="D465" s="162"/>
      <c r="E465" s="162"/>
      <c r="F465" s="162"/>
      <c r="G465" s="163"/>
      <c r="H465" s="164"/>
      <c r="I465" s="165"/>
    </row>
    <row r="466" spans="1:9">
      <c r="A466" s="161"/>
      <c r="B466" s="162"/>
      <c r="C466" s="162"/>
      <c r="D466" s="162"/>
      <c r="E466" s="162"/>
      <c r="F466" s="162"/>
      <c r="G466" s="163"/>
      <c r="H466" s="164"/>
      <c r="I466" s="165"/>
    </row>
    <row r="467" spans="1:9">
      <c r="A467" s="161"/>
      <c r="B467" s="162"/>
      <c r="C467" s="162"/>
      <c r="D467" s="162"/>
      <c r="E467" s="162"/>
      <c r="F467" s="162"/>
      <c r="G467" s="163"/>
      <c r="H467" s="164"/>
      <c r="I467" s="165"/>
    </row>
    <row r="468" spans="1:9">
      <c r="A468" s="161"/>
      <c r="B468" s="162"/>
      <c r="C468" s="162"/>
      <c r="D468" s="162"/>
      <c r="E468" s="162"/>
      <c r="F468" s="162"/>
      <c r="G468" s="163"/>
      <c r="H468" s="164"/>
      <c r="I468" s="165"/>
    </row>
    <row r="469" spans="1:9">
      <c r="A469" s="161"/>
      <c r="B469" s="162"/>
      <c r="C469" s="162"/>
      <c r="D469" s="162"/>
      <c r="E469" s="162"/>
      <c r="F469" s="162"/>
      <c r="G469" s="163"/>
      <c r="H469" s="164"/>
      <c r="I469" s="165"/>
    </row>
    <row r="470" spans="1:9">
      <c r="A470" s="161"/>
      <c r="B470" s="162"/>
      <c r="C470" s="162"/>
      <c r="D470" s="162"/>
      <c r="E470" s="162"/>
      <c r="F470" s="162"/>
      <c r="G470" s="163"/>
      <c r="H470" s="164"/>
      <c r="I470" s="165"/>
    </row>
    <row r="471" spans="1:9">
      <c r="A471" s="161"/>
      <c r="B471" s="162"/>
      <c r="C471" s="162"/>
      <c r="D471" s="162"/>
      <c r="E471" s="162"/>
      <c r="F471" s="162"/>
      <c r="G471" s="163"/>
      <c r="H471" s="164"/>
      <c r="I471" s="165"/>
    </row>
    <row r="472" spans="1:9">
      <c r="A472" s="161"/>
      <c r="B472" s="162"/>
      <c r="C472" s="162"/>
      <c r="D472" s="162"/>
      <c r="E472" s="162"/>
      <c r="F472" s="162"/>
      <c r="G472" s="163"/>
      <c r="H472" s="164"/>
      <c r="I472" s="165"/>
    </row>
    <row r="473" spans="1:9">
      <c r="A473" s="161"/>
      <c r="B473" s="162"/>
      <c r="C473" s="162"/>
      <c r="D473" s="162"/>
      <c r="E473" s="162"/>
      <c r="F473" s="162"/>
      <c r="G473" s="163"/>
      <c r="H473" s="164"/>
      <c r="I473" s="165"/>
    </row>
    <row r="474" spans="1:9">
      <c r="A474" s="161"/>
      <c r="B474" s="162"/>
      <c r="C474" s="162"/>
      <c r="D474" s="162"/>
      <c r="E474" s="162"/>
      <c r="F474" s="162"/>
      <c r="G474" s="163"/>
      <c r="H474" s="164"/>
      <c r="I474" s="165"/>
    </row>
    <row r="475" spans="1:9">
      <c r="A475" s="161"/>
      <c r="B475" s="162"/>
      <c r="C475" s="162"/>
      <c r="D475" s="162"/>
      <c r="E475" s="162"/>
      <c r="F475" s="162"/>
      <c r="G475" s="163"/>
      <c r="H475" s="164"/>
      <c r="I475" s="165"/>
    </row>
    <row r="476" spans="1:9">
      <c r="A476" s="161"/>
      <c r="B476" s="162"/>
      <c r="C476" s="162"/>
      <c r="D476" s="162"/>
      <c r="E476" s="162"/>
      <c r="F476" s="162"/>
      <c r="G476" s="163"/>
      <c r="H476" s="164"/>
      <c r="I476" s="165"/>
    </row>
    <row r="477" spans="1:9">
      <c r="A477" s="161"/>
      <c r="B477" s="162"/>
      <c r="C477" s="162"/>
      <c r="D477" s="162"/>
      <c r="E477" s="162"/>
      <c r="F477" s="162"/>
      <c r="G477" s="163"/>
      <c r="H477" s="164"/>
      <c r="I477" s="165"/>
    </row>
    <row r="478" spans="1:9">
      <c r="A478" s="161"/>
      <c r="B478" s="162"/>
      <c r="C478" s="162"/>
      <c r="D478" s="162"/>
      <c r="E478" s="162"/>
      <c r="F478" s="162"/>
      <c r="G478" s="163"/>
      <c r="H478" s="164"/>
      <c r="I478" s="165"/>
    </row>
    <row r="479" spans="1:9">
      <c r="A479" s="161"/>
      <c r="B479" s="162"/>
      <c r="C479" s="162"/>
      <c r="D479" s="162"/>
      <c r="E479" s="162"/>
      <c r="F479" s="162"/>
      <c r="G479" s="163"/>
      <c r="H479" s="164"/>
      <c r="I479" s="165"/>
    </row>
    <row r="480" spans="1:9">
      <c r="A480" s="161"/>
      <c r="B480" s="162"/>
      <c r="C480" s="162"/>
      <c r="D480" s="162"/>
      <c r="E480" s="162"/>
      <c r="F480" s="162"/>
      <c r="G480" s="163"/>
      <c r="H480" s="164"/>
      <c r="I480" s="165"/>
    </row>
    <row r="481" spans="1:9">
      <c r="A481" s="161"/>
      <c r="B481" s="162"/>
      <c r="C481" s="162"/>
      <c r="D481" s="162"/>
      <c r="E481" s="162"/>
      <c r="F481" s="162"/>
      <c r="G481" s="163"/>
      <c r="H481" s="164"/>
      <c r="I481" s="165"/>
    </row>
    <row r="482" spans="1:9">
      <c r="A482" s="161"/>
      <c r="B482" s="162"/>
      <c r="C482" s="162"/>
      <c r="D482" s="162"/>
      <c r="E482" s="162"/>
      <c r="F482" s="162"/>
      <c r="G482" s="163"/>
      <c r="H482" s="164"/>
      <c r="I482" s="165"/>
    </row>
    <row r="483" spans="1:9">
      <c r="A483" s="161"/>
      <c r="B483" s="162"/>
      <c r="C483" s="162"/>
      <c r="D483" s="162"/>
      <c r="E483" s="162"/>
      <c r="F483" s="162"/>
      <c r="G483" s="163"/>
      <c r="H483" s="164"/>
      <c r="I483" s="165"/>
    </row>
    <row r="484" spans="1:9">
      <c r="A484" s="161"/>
      <c r="B484" s="162"/>
      <c r="C484" s="162"/>
      <c r="D484" s="162"/>
      <c r="E484" s="162"/>
      <c r="F484" s="162"/>
      <c r="G484" s="163"/>
      <c r="H484" s="164"/>
      <c r="I484" s="165"/>
    </row>
    <row r="485" spans="1:9">
      <c r="A485" s="161"/>
      <c r="B485" s="162"/>
      <c r="C485" s="162"/>
      <c r="D485" s="162"/>
      <c r="E485" s="162"/>
      <c r="F485" s="162"/>
      <c r="G485" s="163"/>
      <c r="H485" s="164"/>
      <c r="I485" s="165"/>
    </row>
    <row r="486" spans="1:9">
      <c r="A486" s="161"/>
      <c r="B486" s="162"/>
      <c r="C486" s="162"/>
      <c r="D486" s="162"/>
      <c r="E486" s="162"/>
      <c r="F486" s="162"/>
      <c r="G486" s="163"/>
      <c r="H486" s="164"/>
      <c r="I486" s="165"/>
    </row>
    <row r="487" spans="1:9">
      <c r="A487" s="161"/>
      <c r="B487" s="162"/>
      <c r="C487" s="162"/>
      <c r="D487" s="162"/>
      <c r="E487" s="162"/>
      <c r="F487" s="162"/>
      <c r="G487" s="163"/>
      <c r="H487" s="164"/>
      <c r="I487" s="165"/>
    </row>
    <row r="488" spans="1:9">
      <c r="A488" s="161"/>
      <c r="B488" s="162"/>
      <c r="C488" s="162"/>
      <c r="D488" s="162"/>
      <c r="E488" s="162"/>
      <c r="F488" s="162"/>
      <c r="G488" s="163"/>
      <c r="H488" s="164"/>
      <c r="I488" s="165"/>
    </row>
    <row r="489" spans="1:9">
      <c r="A489" s="161"/>
      <c r="B489" s="162"/>
      <c r="C489" s="162"/>
      <c r="D489" s="162"/>
      <c r="E489" s="162"/>
      <c r="F489" s="162"/>
      <c r="G489" s="163"/>
      <c r="H489" s="164"/>
      <c r="I489" s="165"/>
    </row>
    <row r="490" spans="1:9">
      <c r="A490" s="161"/>
      <c r="B490" s="162"/>
      <c r="C490" s="162"/>
      <c r="D490" s="162"/>
      <c r="E490" s="162"/>
      <c r="F490" s="162"/>
      <c r="G490" s="163"/>
      <c r="H490" s="164"/>
      <c r="I490" s="165"/>
    </row>
    <row r="491" spans="1:9">
      <c r="A491" s="161"/>
      <c r="B491" s="162"/>
      <c r="C491" s="162"/>
      <c r="D491" s="162"/>
      <c r="E491" s="162"/>
      <c r="F491" s="162"/>
      <c r="G491" s="163"/>
      <c r="H491" s="164"/>
      <c r="I491" s="165"/>
    </row>
    <row r="492" spans="1:9">
      <c r="A492" s="161"/>
      <c r="B492" s="162"/>
      <c r="C492" s="162"/>
      <c r="D492" s="162"/>
      <c r="E492" s="162"/>
      <c r="F492" s="162"/>
      <c r="G492" s="163"/>
      <c r="H492" s="164"/>
      <c r="I492" s="165"/>
    </row>
    <row r="493" spans="1:9">
      <c r="A493" s="161"/>
      <c r="B493" s="162"/>
      <c r="C493" s="162"/>
      <c r="D493" s="162"/>
      <c r="E493" s="162"/>
      <c r="F493" s="162"/>
      <c r="G493" s="163"/>
      <c r="H493" s="164"/>
      <c r="I493" s="165"/>
    </row>
    <row r="494" spans="1:9">
      <c r="A494" s="161"/>
      <c r="B494" s="162"/>
      <c r="C494" s="162"/>
      <c r="D494" s="162"/>
      <c r="E494" s="162"/>
      <c r="F494" s="162"/>
      <c r="G494" s="163"/>
      <c r="H494" s="164"/>
      <c r="I494" s="165"/>
    </row>
    <row r="495" spans="1:9">
      <c r="A495" s="161"/>
      <c r="B495" s="162"/>
      <c r="C495" s="162"/>
      <c r="D495" s="162"/>
      <c r="E495" s="162"/>
      <c r="F495" s="162"/>
      <c r="G495" s="163"/>
      <c r="H495" s="164"/>
      <c r="I495" s="165"/>
    </row>
    <row r="496" spans="1:9">
      <c r="A496" s="161"/>
      <c r="B496" s="162"/>
      <c r="C496" s="162"/>
      <c r="D496" s="162"/>
      <c r="E496" s="162"/>
      <c r="F496" s="162"/>
      <c r="G496" s="163"/>
      <c r="H496" s="164"/>
      <c r="I496" s="165"/>
    </row>
    <row r="497" spans="1:9">
      <c r="A497" s="161"/>
      <c r="B497" s="162"/>
      <c r="C497" s="162"/>
      <c r="D497" s="162"/>
      <c r="E497" s="162"/>
      <c r="F497" s="162"/>
      <c r="G497" s="163"/>
      <c r="H497" s="164"/>
      <c r="I497" s="165"/>
    </row>
    <row r="498" spans="1:9">
      <c r="A498" s="161"/>
      <c r="B498" s="162"/>
      <c r="C498" s="162"/>
      <c r="D498" s="162"/>
      <c r="E498" s="162"/>
      <c r="F498" s="162"/>
      <c r="G498" s="163"/>
      <c r="H498" s="164"/>
      <c r="I498" s="165"/>
    </row>
    <row r="499" spans="1:9">
      <c r="A499" s="161"/>
      <c r="B499" s="162"/>
      <c r="C499" s="162"/>
      <c r="D499" s="162"/>
      <c r="E499" s="162"/>
      <c r="F499" s="162"/>
      <c r="G499" s="163"/>
      <c r="H499" s="164"/>
      <c r="I499" s="165"/>
    </row>
    <row r="500" spans="1:9">
      <c r="A500" s="161"/>
      <c r="B500" s="162"/>
      <c r="C500" s="162"/>
      <c r="D500" s="162"/>
      <c r="E500" s="162"/>
      <c r="F500" s="162"/>
      <c r="G500" s="163"/>
      <c r="H500" s="164"/>
      <c r="I500" s="165"/>
    </row>
    <row r="501" spans="1:9">
      <c r="A501" s="161"/>
      <c r="B501" s="162"/>
      <c r="C501" s="162"/>
      <c r="D501" s="162"/>
      <c r="E501" s="162"/>
      <c r="F501" s="162"/>
      <c r="G501" s="163"/>
      <c r="H501" s="164"/>
      <c r="I501" s="165"/>
    </row>
    <row r="502" spans="1:9">
      <c r="A502" s="161"/>
      <c r="B502" s="162"/>
      <c r="C502" s="162"/>
      <c r="D502" s="162"/>
      <c r="E502" s="162"/>
      <c r="F502" s="162"/>
      <c r="G502" s="163"/>
      <c r="H502" s="164"/>
      <c r="I502" s="165"/>
    </row>
    <row r="503" spans="1:9">
      <c r="A503" s="161"/>
      <c r="B503" s="162"/>
      <c r="C503" s="162"/>
      <c r="D503" s="162"/>
      <c r="E503" s="162"/>
      <c r="F503" s="162"/>
      <c r="G503" s="163"/>
      <c r="H503" s="164"/>
      <c r="I503" s="165"/>
    </row>
    <row r="504" spans="1:9">
      <c r="A504" s="161"/>
      <c r="B504" s="162"/>
      <c r="C504" s="162"/>
      <c r="D504" s="162"/>
      <c r="E504" s="162"/>
      <c r="F504" s="162"/>
      <c r="G504" s="163"/>
      <c r="H504" s="164"/>
      <c r="I504" s="165"/>
    </row>
    <row r="505" spans="1:9">
      <c r="A505" s="161"/>
      <c r="B505" s="162"/>
      <c r="C505" s="162"/>
      <c r="D505" s="162"/>
      <c r="E505" s="162"/>
      <c r="F505" s="162"/>
      <c r="G505" s="163"/>
      <c r="H505" s="164"/>
      <c r="I505" s="165"/>
    </row>
    <row r="506" spans="1:9">
      <c r="A506" s="161"/>
      <c r="B506" s="162"/>
      <c r="C506" s="162"/>
      <c r="D506" s="162"/>
      <c r="E506" s="162"/>
      <c r="F506" s="162"/>
      <c r="G506" s="163"/>
      <c r="H506" s="164"/>
      <c r="I506" s="165"/>
    </row>
    <row r="507" spans="1:9">
      <c r="A507" s="161"/>
      <c r="B507" s="162"/>
      <c r="C507" s="162"/>
      <c r="D507" s="162"/>
      <c r="E507" s="162"/>
      <c r="F507" s="162"/>
      <c r="G507" s="163"/>
      <c r="H507" s="164"/>
      <c r="I507" s="165"/>
    </row>
    <row r="508" spans="1:9">
      <c r="A508" s="161"/>
      <c r="B508" s="162"/>
      <c r="C508" s="162"/>
      <c r="D508" s="162"/>
      <c r="E508" s="162"/>
      <c r="F508" s="162"/>
      <c r="G508" s="163"/>
      <c r="H508" s="164"/>
      <c r="I508" s="165"/>
    </row>
    <row r="509" spans="1:9">
      <c r="A509" s="161"/>
      <c r="B509" s="162"/>
      <c r="C509" s="162"/>
      <c r="D509" s="162"/>
      <c r="E509" s="162"/>
      <c r="F509" s="162"/>
      <c r="G509" s="163"/>
      <c r="H509" s="164"/>
      <c r="I509" s="165"/>
    </row>
    <row r="510" spans="1:9">
      <c r="A510" s="161"/>
      <c r="B510" s="162"/>
      <c r="C510" s="162"/>
      <c r="D510" s="162"/>
      <c r="E510" s="162"/>
      <c r="F510" s="162"/>
      <c r="G510" s="163"/>
      <c r="H510" s="164"/>
      <c r="I510" s="165"/>
    </row>
    <row r="511" spans="1:9">
      <c r="A511" s="161"/>
      <c r="B511" s="162"/>
      <c r="C511" s="162"/>
      <c r="D511" s="162"/>
      <c r="E511" s="162"/>
      <c r="F511" s="162"/>
      <c r="G511" s="163"/>
      <c r="H511" s="164"/>
      <c r="I511" s="165"/>
    </row>
    <row r="512" spans="1:9">
      <c r="A512" s="161"/>
      <c r="B512" s="162"/>
      <c r="C512" s="162"/>
      <c r="D512" s="162"/>
      <c r="E512" s="162"/>
      <c r="F512" s="162"/>
      <c r="G512" s="163"/>
      <c r="H512" s="164"/>
      <c r="I512" s="165"/>
    </row>
    <row r="513" spans="1:9">
      <c r="A513" s="161"/>
      <c r="B513" s="162"/>
      <c r="C513" s="162"/>
      <c r="D513" s="162"/>
      <c r="E513" s="162"/>
      <c r="F513" s="162"/>
      <c r="G513" s="163"/>
      <c r="H513" s="164"/>
      <c r="I513" s="165"/>
    </row>
    <row r="514" spans="1:9">
      <c r="A514" s="161"/>
      <c r="B514" s="162"/>
      <c r="C514" s="162"/>
      <c r="D514" s="162"/>
      <c r="E514" s="162"/>
      <c r="F514" s="162"/>
      <c r="G514" s="163"/>
      <c r="H514" s="164"/>
      <c r="I514" s="165"/>
    </row>
    <row r="515" spans="1:9">
      <c r="A515" s="161"/>
      <c r="B515" s="162"/>
      <c r="C515" s="162"/>
      <c r="D515" s="162"/>
      <c r="E515" s="162"/>
      <c r="F515" s="162"/>
      <c r="G515" s="163"/>
      <c r="H515" s="164"/>
      <c r="I515" s="165"/>
    </row>
    <row r="516" spans="1:9">
      <c r="A516" s="161"/>
      <c r="B516" s="162"/>
      <c r="C516" s="162"/>
      <c r="D516" s="162"/>
      <c r="E516" s="162"/>
      <c r="F516" s="162"/>
      <c r="G516" s="163"/>
      <c r="H516" s="164"/>
      <c r="I516" s="165"/>
    </row>
    <row r="517" spans="1:9">
      <c r="A517" s="161"/>
      <c r="B517" s="162"/>
      <c r="C517" s="162"/>
      <c r="D517" s="162"/>
      <c r="E517" s="162"/>
      <c r="F517" s="162"/>
      <c r="G517" s="163"/>
      <c r="H517" s="164"/>
      <c r="I517" s="165"/>
    </row>
    <row r="518" spans="1:9">
      <c r="A518" s="161"/>
      <c r="B518" s="162"/>
      <c r="C518" s="162"/>
      <c r="D518" s="162"/>
      <c r="E518" s="162"/>
      <c r="F518" s="162"/>
      <c r="G518" s="163"/>
      <c r="H518" s="164"/>
      <c r="I518" s="165"/>
    </row>
    <row r="519" spans="1:9">
      <c r="A519" s="161"/>
      <c r="B519" s="162"/>
      <c r="C519" s="162"/>
      <c r="D519" s="162"/>
      <c r="E519" s="162"/>
      <c r="F519" s="162"/>
      <c r="G519" s="163"/>
      <c r="H519" s="164"/>
      <c r="I519" s="165"/>
    </row>
    <row r="520" spans="1:9">
      <c r="A520" s="161"/>
      <c r="B520" s="162"/>
      <c r="C520" s="162"/>
      <c r="D520" s="162"/>
      <c r="E520" s="162"/>
      <c r="F520" s="162"/>
      <c r="G520" s="163"/>
      <c r="H520" s="164"/>
      <c r="I520" s="165"/>
    </row>
    <row r="521" spans="1:9">
      <c r="A521" s="161"/>
      <c r="B521" s="162"/>
      <c r="C521" s="162"/>
      <c r="D521" s="162"/>
      <c r="E521" s="162"/>
      <c r="F521" s="162"/>
      <c r="G521" s="163"/>
      <c r="H521" s="164"/>
      <c r="I521" s="165"/>
    </row>
    <row r="522" spans="1:9">
      <c r="A522" s="161"/>
      <c r="B522" s="162"/>
      <c r="C522" s="162"/>
      <c r="D522" s="162"/>
      <c r="E522" s="162"/>
      <c r="F522" s="162"/>
      <c r="G522" s="163"/>
      <c r="H522" s="164"/>
      <c r="I522" s="165"/>
    </row>
    <row r="523" spans="1:9">
      <c r="A523" s="161"/>
      <c r="B523" s="162"/>
      <c r="C523" s="162"/>
      <c r="D523" s="162"/>
      <c r="E523" s="162"/>
      <c r="F523" s="162"/>
      <c r="G523" s="163"/>
      <c r="H523" s="164"/>
      <c r="I523" s="165"/>
    </row>
    <row r="524" spans="1:9">
      <c r="A524" s="161"/>
      <c r="B524" s="162"/>
      <c r="C524" s="162"/>
      <c r="D524" s="162"/>
      <c r="E524" s="162"/>
      <c r="F524" s="162"/>
      <c r="G524" s="163"/>
      <c r="H524" s="164"/>
      <c r="I524" s="165"/>
    </row>
    <row r="525" spans="1:9">
      <c r="A525" s="161"/>
      <c r="B525" s="162"/>
      <c r="C525" s="162"/>
      <c r="D525" s="162"/>
      <c r="E525" s="162"/>
      <c r="F525" s="162"/>
      <c r="G525" s="163"/>
      <c r="H525" s="164"/>
      <c r="I525" s="165"/>
    </row>
    <row r="526" spans="1:9">
      <c r="A526" s="161"/>
      <c r="B526" s="162"/>
      <c r="C526" s="162"/>
      <c r="D526" s="162"/>
      <c r="E526" s="162"/>
      <c r="F526" s="162"/>
      <c r="G526" s="163"/>
      <c r="H526" s="164"/>
      <c r="I526" s="165"/>
    </row>
    <row r="527" spans="1:9">
      <c r="A527" s="161"/>
      <c r="B527" s="162"/>
      <c r="C527" s="162"/>
      <c r="D527" s="162"/>
      <c r="E527" s="162"/>
      <c r="F527" s="162"/>
      <c r="G527" s="163"/>
      <c r="H527" s="164"/>
      <c r="I527" s="165"/>
    </row>
    <row r="528" spans="1:9">
      <c r="A528" s="161"/>
      <c r="B528" s="162"/>
      <c r="C528" s="162"/>
      <c r="D528" s="162"/>
      <c r="E528" s="162"/>
      <c r="F528" s="162"/>
      <c r="G528" s="163"/>
      <c r="H528" s="164"/>
      <c r="I528" s="165"/>
    </row>
    <row r="529" spans="1:9">
      <c r="A529" s="161"/>
      <c r="B529" s="162"/>
      <c r="C529" s="162"/>
      <c r="D529" s="162"/>
      <c r="E529" s="162"/>
      <c r="F529" s="162"/>
      <c r="G529" s="163"/>
      <c r="H529" s="164"/>
      <c r="I529" s="165"/>
    </row>
    <row r="530" spans="1:9">
      <c r="A530" s="161"/>
      <c r="B530" s="162"/>
      <c r="C530" s="162"/>
      <c r="D530" s="162"/>
      <c r="E530" s="162"/>
      <c r="F530" s="162"/>
      <c r="G530" s="163"/>
      <c r="H530" s="164"/>
      <c r="I530" s="165"/>
    </row>
    <row r="531" spans="1:9">
      <c r="A531" s="161"/>
      <c r="B531" s="162"/>
      <c r="C531" s="162"/>
      <c r="D531" s="162"/>
      <c r="E531" s="162"/>
      <c r="F531" s="162"/>
      <c r="G531" s="163"/>
      <c r="H531" s="164"/>
      <c r="I531" s="165"/>
    </row>
    <row r="532" spans="1:9">
      <c r="A532" s="161"/>
      <c r="B532" s="162"/>
      <c r="C532" s="162"/>
      <c r="D532" s="162"/>
      <c r="E532" s="162"/>
      <c r="F532" s="162"/>
      <c r="G532" s="163"/>
      <c r="H532" s="164"/>
      <c r="I532" s="165"/>
    </row>
    <row r="533" spans="1:9">
      <c r="A533" s="161"/>
      <c r="B533" s="162"/>
      <c r="C533" s="162"/>
      <c r="D533" s="162"/>
      <c r="E533" s="162"/>
      <c r="F533" s="162"/>
      <c r="G533" s="163"/>
      <c r="H533" s="164"/>
      <c r="I533" s="165"/>
    </row>
    <row r="534" spans="1:9">
      <c r="A534" s="161"/>
      <c r="B534" s="162"/>
      <c r="C534" s="162"/>
      <c r="D534" s="162"/>
      <c r="E534" s="162"/>
      <c r="F534" s="162"/>
      <c r="G534" s="163"/>
      <c r="H534" s="164"/>
      <c r="I534" s="165"/>
    </row>
    <row r="535" spans="1:9">
      <c r="A535" s="161"/>
      <c r="B535" s="162"/>
      <c r="C535" s="162"/>
      <c r="D535" s="162"/>
      <c r="E535" s="162"/>
      <c r="F535" s="162"/>
      <c r="G535" s="163"/>
      <c r="H535" s="164"/>
      <c r="I535" s="165"/>
    </row>
    <row r="536" spans="1:9">
      <c r="A536" s="161"/>
      <c r="B536" s="162"/>
      <c r="C536" s="162"/>
      <c r="D536" s="162"/>
      <c r="E536" s="162"/>
      <c r="F536" s="162"/>
      <c r="G536" s="163"/>
      <c r="H536" s="164"/>
      <c r="I536" s="165"/>
    </row>
    <row r="537" spans="1:9">
      <c r="A537" s="161"/>
      <c r="B537" s="162"/>
      <c r="C537" s="162"/>
      <c r="D537" s="162"/>
      <c r="E537" s="162"/>
      <c r="F537" s="162"/>
      <c r="G537" s="163"/>
      <c r="H537" s="164"/>
      <c r="I537" s="165"/>
    </row>
    <row r="538" spans="1:9">
      <c r="A538" s="161"/>
      <c r="B538" s="162"/>
      <c r="C538" s="162"/>
      <c r="D538" s="162"/>
      <c r="E538" s="162"/>
      <c r="F538" s="162"/>
      <c r="G538" s="163"/>
      <c r="H538" s="164"/>
      <c r="I538" s="165"/>
    </row>
    <row r="539" spans="1:9">
      <c r="A539" s="161"/>
      <c r="B539" s="162"/>
      <c r="C539" s="162"/>
      <c r="D539" s="162"/>
      <c r="E539" s="162"/>
      <c r="F539" s="162"/>
      <c r="G539" s="163"/>
      <c r="H539" s="164"/>
      <c r="I539" s="165"/>
    </row>
    <row r="540" spans="1:9">
      <c r="A540" s="161"/>
      <c r="B540" s="162"/>
      <c r="C540" s="162"/>
      <c r="D540" s="162"/>
      <c r="E540" s="162"/>
      <c r="F540" s="162"/>
      <c r="G540" s="163"/>
      <c r="H540" s="164"/>
      <c r="I540" s="165"/>
    </row>
    <row r="541" spans="1:9">
      <c r="A541" s="161"/>
      <c r="B541" s="162"/>
      <c r="C541" s="162"/>
      <c r="D541" s="162"/>
      <c r="E541" s="162"/>
      <c r="F541" s="162"/>
      <c r="G541" s="163"/>
      <c r="H541" s="164"/>
      <c r="I541" s="165"/>
    </row>
    <row r="542" spans="1:9">
      <c r="A542" s="161"/>
      <c r="B542" s="162"/>
      <c r="C542" s="162"/>
      <c r="D542" s="162"/>
      <c r="E542" s="162"/>
      <c r="F542" s="162"/>
      <c r="G542" s="163"/>
      <c r="H542" s="164"/>
      <c r="I542" s="165"/>
    </row>
    <row r="543" spans="1:9">
      <c r="A543" s="161"/>
      <c r="B543" s="162"/>
      <c r="C543" s="162"/>
      <c r="D543" s="162"/>
      <c r="E543" s="162"/>
      <c r="F543" s="162"/>
      <c r="G543" s="163"/>
      <c r="H543" s="164"/>
      <c r="I543" s="165"/>
    </row>
    <row r="544" spans="1:9">
      <c r="A544" s="161"/>
      <c r="B544" s="162"/>
      <c r="C544" s="162"/>
      <c r="D544" s="162"/>
      <c r="E544" s="162"/>
      <c r="F544" s="162"/>
      <c r="G544" s="163"/>
      <c r="H544" s="164"/>
      <c r="I544" s="165"/>
    </row>
    <row r="545" spans="1:9">
      <c r="A545" s="161"/>
      <c r="B545" s="162"/>
      <c r="C545" s="162"/>
      <c r="D545" s="162"/>
      <c r="E545" s="162"/>
      <c r="F545" s="162"/>
      <c r="G545" s="163"/>
      <c r="H545" s="164"/>
      <c r="I545" s="165"/>
    </row>
    <row r="546" spans="1:9">
      <c r="A546" s="161"/>
      <c r="B546" s="162"/>
      <c r="C546" s="162"/>
      <c r="D546" s="162"/>
      <c r="E546" s="162"/>
      <c r="F546" s="162"/>
      <c r="G546" s="163"/>
      <c r="H546" s="164"/>
      <c r="I546" s="165"/>
    </row>
    <row r="547" spans="1:9">
      <c r="A547" s="161"/>
      <c r="B547" s="162"/>
      <c r="C547" s="162"/>
      <c r="D547" s="162"/>
      <c r="E547" s="162"/>
      <c r="F547" s="162"/>
      <c r="G547" s="163"/>
      <c r="H547" s="164"/>
      <c r="I547" s="165"/>
    </row>
    <row r="548" spans="1:9">
      <c r="A548" s="161"/>
      <c r="B548" s="162"/>
      <c r="C548" s="162"/>
      <c r="D548" s="162"/>
      <c r="E548" s="162"/>
      <c r="F548" s="162"/>
      <c r="G548" s="163"/>
      <c r="H548" s="164"/>
      <c r="I548" s="165"/>
    </row>
    <row r="549" spans="1:9">
      <c r="A549" s="161"/>
      <c r="B549" s="162"/>
      <c r="C549" s="162"/>
      <c r="D549" s="162"/>
      <c r="E549" s="162"/>
      <c r="F549" s="162"/>
      <c r="G549" s="163"/>
      <c r="H549" s="164"/>
      <c r="I549" s="165"/>
    </row>
    <row r="550" spans="1:9">
      <c r="A550" s="161"/>
      <c r="B550" s="162"/>
      <c r="C550" s="162"/>
      <c r="D550" s="162"/>
      <c r="E550" s="162"/>
      <c r="F550" s="162"/>
      <c r="G550" s="163"/>
      <c r="H550" s="164"/>
      <c r="I550" s="165"/>
    </row>
    <row r="551" spans="1:9">
      <c r="A551" s="161"/>
      <c r="B551" s="162"/>
      <c r="C551" s="162"/>
      <c r="D551" s="162"/>
      <c r="E551" s="162"/>
      <c r="F551" s="162"/>
      <c r="G551" s="163"/>
      <c r="H551" s="164"/>
      <c r="I551" s="165"/>
    </row>
    <row r="552" spans="1:9">
      <c r="A552" s="161"/>
      <c r="B552" s="162"/>
      <c r="C552" s="162"/>
      <c r="D552" s="162"/>
      <c r="E552" s="162"/>
      <c r="F552" s="162"/>
      <c r="G552" s="163"/>
      <c r="H552" s="164"/>
      <c r="I552" s="165"/>
    </row>
    <row r="553" spans="1:9">
      <c r="A553" s="161"/>
      <c r="B553" s="162"/>
      <c r="C553" s="162"/>
      <c r="D553" s="162"/>
      <c r="E553" s="162"/>
      <c r="F553" s="162"/>
      <c r="G553" s="163"/>
      <c r="H553" s="164"/>
      <c r="I553" s="165"/>
    </row>
    <row r="554" spans="1:9">
      <c r="A554" s="161"/>
      <c r="B554" s="162"/>
      <c r="C554" s="162"/>
      <c r="D554" s="162"/>
      <c r="E554" s="162"/>
      <c r="F554" s="162"/>
      <c r="G554" s="163"/>
      <c r="H554" s="164"/>
      <c r="I554" s="165"/>
    </row>
    <row r="555" spans="1:9">
      <c r="A555" s="161"/>
      <c r="B555" s="162"/>
      <c r="C555" s="162"/>
      <c r="D555" s="162"/>
      <c r="E555" s="162"/>
      <c r="F555" s="162"/>
      <c r="G555" s="163"/>
      <c r="H555" s="164"/>
      <c r="I555" s="165"/>
    </row>
    <row r="556" spans="1:9">
      <c r="A556" s="161"/>
      <c r="B556" s="162"/>
      <c r="C556" s="162"/>
      <c r="D556" s="162"/>
      <c r="E556" s="162"/>
      <c r="F556" s="162"/>
      <c r="G556" s="163"/>
      <c r="H556" s="164"/>
      <c r="I556" s="165"/>
    </row>
    <row r="557" spans="1:9">
      <c r="A557" s="161"/>
      <c r="B557" s="162"/>
      <c r="C557" s="162"/>
      <c r="D557" s="162"/>
      <c r="E557" s="162"/>
      <c r="F557" s="162"/>
      <c r="G557" s="163"/>
      <c r="H557" s="164"/>
      <c r="I557" s="165"/>
    </row>
    <row r="558" spans="1:9">
      <c r="A558" s="161"/>
      <c r="B558" s="162"/>
      <c r="C558" s="162"/>
      <c r="D558" s="162"/>
      <c r="E558" s="162"/>
      <c r="F558" s="162"/>
      <c r="G558" s="163"/>
      <c r="H558" s="164"/>
      <c r="I558" s="165"/>
    </row>
    <row r="559" spans="1:9">
      <c r="A559" s="161"/>
      <c r="B559" s="162"/>
      <c r="C559" s="162"/>
      <c r="D559" s="162"/>
      <c r="E559" s="162"/>
      <c r="F559" s="162"/>
      <c r="G559" s="163"/>
      <c r="H559" s="164"/>
      <c r="I559" s="165"/>
    </row>
    <row r="560" spans="1:9">
      <c r="A560" s="161"/>
      <c r="B560" s="162"/>
      <c r="C560" s="162"/>
      <c r="D560" s="162"/>
      <c r="E560" s="162"/>
      <c r="F560" s="162"/>
      <c r="G560" s="163"/>
      <c r="H560" s="164"/>
      <c r="I560" s="165"/>
    </row>
    <row r="561" spans="1:9">
      <c r="A561" s="161"/>
      <c r="B561" s="162"/>
      <c r="C561" s="162"/>
      <c r="D561" s="162"/>
      <c r="E561" s="162"/>
      <c r="F561" s="162"/>
      <c r="G561" s="163"/>
      <c r="H561" s="164"/>
      <c r="I561" s="165"/>
    </row>
    <row r="562" spans="1:9">
      <c r="A562" s="161"/>
      <c r="B562" s="162"/>
      <c r="C562" s="162"/>
      <c r="D562" s="162"/>
      <c r="E562" s="162"/>
      <c r="F562" s="162"/>
      <c r="G562" s="163"/>
      <c r="H562" s="164"/>
      <c r="I562" s="165"/>
    </row>
    <row r="563" spans="1:9">
      <c r="A563" s="161"/>
      <c r="B563" s="162"/>
      <c r="C563" s="162"/>
      <c r="D563" s="162"/>
      <c r="E563" s="162"/>
      <c r="F563" s="162"/>
      <c r="G563" s="163"/>
      <c r="H563" s="164"/>
      <c r="I563" s="165"/>
    </row>
    <row r="564" spans="1:9">
      <c r="A564" s="161"/>
      <c r="B564" s="162"/>
      <c r="C564" s="162"/>
      <c r="D564" s="162"/>
      <c r="E564" s="162"/>
      <c r="F564" s="162"/>
      <c r="G564" s="163"/>
      <c r="H564" s="164"/>
      <c r="I564" s="165"/>
    </row>
    <row r="565" spans="1:9">
      <c r="A565" s="161"/>
      <c r="B565" s="162"/>
      <c r="C565" s="162"/>
      <c r="D565" s="162"/>
      <c r="E565" s="162"/>
      <c r="F565" s="162"/>
      <c r="G565" s="163"/>
      <c r="H565" s="164"/>
      <c r="I565" s="165"/>
    </row>
    <row r="566" spans="1:9">
      <c r="A566" s="161"/>
      <c r="B566" s="162"/>
      <c r="C566" s="162"/>
      <c r="D566" s="162"/>
      <c r="E566" s="162"/>
      <c r="F566" s="162"/>
      <c r="G566" s="163"/>
      <c r="H566" s="164"/>
      <c r="I566" s="165"/>
    </row>
    <row r="567" spans="1:9">
      <c r="A567" s="161"/>
      <c r="B567" s="162"/>
      <c r="C567" s="162"/>
      <c r="D567" s="162"/>
      <c r="E567" s="162"/>
      <c r="F567" s="162"/>
      <c r="G567" s="163"/>
      <c r="H567" s="164"/>
      <c r="I567" s="165"/>
    </row>
    <row r="568" spans="1:9">
      <c r="A568" s="161"/>
      <c r="B568" s="162"/>
      <c r="C568" s="162"/>
      <c r="D568" s="162"/>
      <c r="E568" s="162"/>
      <c r="F568" s="162"/>
      <c r="G568" s="163"/>
      <c r="H568" s="164"/>
      <c r="I568" s="165"/>
    </row>
    <row r="569" spans="1:9">
      <c r="A569" s="161"/>
      <c r="B569" s="162"/>
      <c r="C569" s="162"/>
      <c r="D569" s="162"/>
      <c r="E569" s="162"/>
      <c r="F569" s="162"/>
      <c r="G569" s="163"/>
      <c r="H569" s="164"/>
      <c r="I569" s="165"/>
    </row>
    <row r="570" spans="1:9">
      <c r="A570" s="161"/>
      <c r="B570" s="162"/>
      <c r="C570" s="162"/>
      <c r="D570" s="162"/>
      <c r="E570" s="162"/>
      <c r="F570" s="162"/>
      <c r="G570" s="163"/>
      <c r="H570" s="164"/>
      <c r="I570" s="165"/>
    </row>
    <row r="571" spans="1:9">
      <c r="A571" s="161"/>
      <c r="B571" s="162"/>
      <c r="C571" s="162"/>
      <c r="D571" s="162"/>
      <c r="E571" s="162"/>
      <c r="F571" s="162"/>
      <c r="G571" s="163"/>
      <c r="H571" s="164"/>
      <c r="I571" s="165"/>
    </row>
    <row r="572" spans="1:9">
      <c r="A572" s="161"/>
      <c r="B572" s="162"/>
      <c r="C572" s="162"/>
      <c r="D572" s="162"/>
      <c r="E572" s="162"/>
      <c r="F572" s="162"/>
      <c r="G572" s="163"/>
      <c r="H572" s="164"/>
      <c r="I572" s="165"/>
    </row>
    <row r="573" spans="1:9">
      <c r="A573" s="161"/>
      <c r="B573" s="162"/>
      <c r="C573" s="162"/>
      <c r="D573" s="162"/>
      <c r="E573" s="162"/>
      <c r="F573" s="162"/>
      <c r="G573" s="163"/>
      <c r="H573" s="164"/>
      <c r="I573" s="165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견적서</vt:lpstr>
      <vt:lpstr>별첨1_인건비산정</vt:lpstr>
      <vt:lpstr>별첨2_공수산정</vt:lpstr>
      <vt:lpstr>견적서!Print_Area</vt:lpstr>
      <vt:lpstr>별첨1_인건비산정!Print_Area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배병준</dc:creator>
  <cp:lastModifiedBy>이경국</cp:lastModifiedBy>
  <cp:lastPrinted>2024-08-26T01:48:12Z</cp:lastPrinted>
  <dcterms:created xsi:type="dcterms:W3CDTF">2017-02-21T01:48:36Z</dcterms:created>
  <dcterms:modified xsi:type="dcterms:W3CDTF">2026-03-13T01:28:51Z</dcterms:modified>
</cp:coreProperties>
</file>